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☁️ Cloud vs On-Prem" sheetId="2" state="visible" r:id="rId4"/>
    <sheet name="⚙️ Resource Tracker" sheetId="3" state="visible" r:id="rId5"/>
    <sheet name="💰 Budget &amp; Allocation" sheetId="4" state="visible" r:id="rId6"/>
    <sheet name="🎯 Optimization Actions" sheetId="5" state="visible" r:id="rId7"/>
    <sheet name="🛠️ Tooling Matrix" sheetId="6" state="visible" r:id="rId8"/>
    <sheet name="🏷️ Tagging &amp; Governance" sheetId="7" state="visible" r:id="rId9"/>
    <sheet name="🏢 On-Prem Cost Model" sheetId="8" state="visible" r:id="rId10"/>
    <sheet name="🗺️ Roadmap" sheetId="9" state="visible" r:id="rId11"/>
    <sheet name="🧮 Savings Calculator" sheetId="10" state="visible" r:id="rId12"/>
    <sheet name="📈 Maturity Assessment" sheetId="11" state="visible" r:id="rId13"/>
  </sheets>
  <definedNames>
    <definedName function="false" hidden="true" localSheetId="2" name="_xlnm._FilterDatabase" vbProcedure="false">'⚙️ Resource Tracker'!$A$4:$N$24</definedName>
    <definedName function="false" hidden="true" localSheetId="4" name="_xlnm._FilterDatabase" vbProcedure="false">'🎯 Optimization Actions'!$A$4:$M$24</definedName>
    <definedName function="false" hidden="true" localSheetId="3" name="_xlnm._FilterDatabase" vbProcedure="false">'💰 Budget &amp; Allocation'!$A$4:$P$16</definedName>
    <definedName function="false" hidden="true" localSheetId="10" name="_xlnm._FilterDatabase" vbProcedure="false">'📈 Maturity Assessment'!$A$4:$G$31</definedName>
    <definedName function="false" hidden="true" localSheetId="8" name="_xlnm._FilterDatabase" vbProcedure="false">'🗺️ Roadmap'!$A$4:$J$25</definedName>
    <definedName function="false" hidden="true" localSheetId="5" name="_xlnm._FilterDatabase" vbProcedure="false">'🛠️ Tooling Matrix'!$A$4:$J$24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<sst xmlns="http://schemas.openxmlformats.org/spreadsheetml/2006/main" count="1325" uniqueCount="760">
  <si>
    <t xml:space="preserve">FinOps Kubernetes – Executive Dashboard</t>
  </si>
  <si>
    <t xml:space="preserve">Cloud &amp; On-Premises Cost Governance | 2025</t>
  </si>
  <si>
    <t xml:space="preserve">  KEY PERFORMANCE INDICATORS</t>
  </si>
  <si>
    <t xml:space="preserve">Metric</t>
  </si>
  <si>
    <t xml:space="preserve">Target</t>
  </si>
  <si>
    <t xml:space="preserve">Status</t>
  </si>
  <si>
    <t xml:space="preserve">Notes</t>
  </si>
  <si>
    <t xml:space="preserve">Cluster CPU Utilization</t>
  </si>
  <si>
    <t xml:space="preserve">&gt; 60%</t>
  </si>
  <si>
    <t xml:space="preserve">🟡 Monitor</t>
  </si>
  <si>
    <t xml:space="preserve">Measure avg across all nodes</t>
  </si>
  <si>
    <t xml:space="preserve">Cluster Memory Utilization</t>
  </si>
  <si>
    <t xml:space="preserve">&gt; 65%</t>
  </si>
  <si>
    <t xml:space="preserve">Include DaemonSet overhead</t>
  </si>
  <si>
    <t xml:space="preserve">Idle Node Cost Ratio</t>
  </si>
  <si>
    <t xml:space="preserve">&lt; 10%</t>
  </si>
  <si>
    <t xml:space="preserve">🟢 Good</t>
  </si>
  <si>
    <t xml:space="preserve">Idle = no scheduled pods</t>
  </si>
  <si>
    <t xml:space="preserve">Workloads with Resource Requests</t>
  </si>
  <si>
    <t xml:space="preserve">100%</t>
  </si>
  <si>
    <t xml:space="preserve">🔴 Action</t>
  </si>
  <si>
    <t xml:space="preserve">OPA enforcement required</t>
  </si>
  <si>
    <t xml:space="preserve">Namespaces with Cost-Center Label</t>
  </si>
  <si>
    <t xml:space="preserve">Tag compliance audit</t>
  </si>
  <si>
    <t xml:space="preserve">Spot Instance Adoption Rate</t>
  </si>
  <si>
    <t xml:space="preserve">&gt; 40%</t>
  </si>
  <si>
    <t xml:space="preserve">Eligible: stateless workloads</t>
  </si>
  <si>
    <t xml:space="preserve">VPA Recommendation Coverage</t>
  </si>
  <si>
    <t xml:space="preserve">&gt; 80%</t>
  </si>
  <si>
    <t xml:space="preserve">Use Goldilocks dashboard</t>
  </si>
  <si>
    <t xml:space="preserve">Budget Alert Response Time</t>
  </si>
  <si>
    <t xml:space="preserve">&lt; 24 hours</t>
  </si>
  <si>
    <t xml:space="preserve">Kubecost + Slack integration</t>
  </si>
  <si>
    <t xml:space="preserve">Cost Forecast Accuracy</t>
  </si>
  <si>
    <t xml:space="preserve">+/- 10%</t>
  </si>
  <si>
    <t xml:space="preserve">Monthly rolling forecast</t>
  </si>
  <si>
    <t xml:space="preserve">Right-Sizing Actions Implemented</t>
  </si>
  <si>
    <t xml:space="preserve">&gt; 70%</t>
  </si>
  <si>
    <t xml:space="preserve">Review VPA recommendations</t>
  </si>
  <si>
    <t xml:space="preserve">PVC Utilization Rate</t>
  </si>
  <si>
    <t xml:space="preserve">Audit orphaned volumes</t>
  </si>
  <si>
    <t xml:space="preserve">  FINOPS MATURITY SCORECARD</t>
  </si>
  <si>
    <t xml:space="preserve">Domain</t>
  </si>
  <si>
    <t xml:space="preserve">Current Level</t>
  </si>
  <si>
    <t xml:space="preserve">Target Level</t>
  </si>
  <si>
    <t xml:space="preserve">Progress</t>
  </si>
  <si>
    <t xml:space="preserve">Owner</t>
  </si>
  <si>
    <t xml:space="preserve">Next Action</t>
  </si>
  <si>
    <t xml:space="preserve">Cost Visibility</t>
  </si>
  <si>
    <t xml:space="preserve">Level 2 – Walk</t>
  </si>
  <si>
    <t xml:space="preserve">Level 3 – Run</t>
  </si>
  <si>
    <t xml:space="preserve">40%</t>
  </si>
  <si>
    <t xml:space="preserve">Platform Eng</t>
  </si>
  <si>
    <t xml:space="preserve">Deploy Kubecost multi-cluster</t>
  </si>
  <si>
    <t xml:space="preserve">Cost Allocation</t>
  </si>
  <si>
    <t xml:space="preserve">Level 1 – Crawl</t>
  </si>
  <si>
    <t xml:space="preserve">20%</t>
  </si>
  <si>
    <t xml:space="preserve">FinOps Lead</t>
  </si>
  <si>
    <t xml:space="preserve">Enforce tag compliance</t>
  </si>
  <si>
    <t xml:space="preserve">Right-Sizing</t>
  </si>
  <si>
    <t xml:space="preserve">Apply VPA recommendations</t>
  </si>
  <si>
    <t xml:space="preserve">Autoscaling</t>
  </si>
  <si>
    <t xml:space="preserve">Level 4 – Fly</t>
  </si>
  <si>
    <t xml:space="preserve">30%</t>
  </si>
  <si>
    <t xml:space="preserve">Deploy Karpenter</t>
  </si>
  <si>
    <t xml:space="preserve">Governance</t>
  </si>
  <si>
    <t xml:space="preserve">10%</t>
  </si>
  <si>
    <t xml:space="preserve">Security Eng</t>
  </si>
  <si>
    <t xml:space="preserve">Deploy OPA/Gatekeeper</t>
  </si>
  <si>
    <t xml:space="preserve">FinOps Culture</t>
  </si>
  <si>
    <t xml:space="preserve">15%</t>
  </si>
  <si>
    <t xml:space="preserve">Monthly cost reviews with teams</t>
  </si>
  <si>
    <t xml:space="preserve">Cloud vs. On-Premises Kubernetes – FinOps Comparison</t>
  </si>
  <si>
    <t xml:space="preserve">Dimension</t>
  </si>
  <si>
    <t xml:space="preserve">Cloud (AWS/GCP/Azure)</t>
  </si>
  <si>
    <t xml:space="preserve">On-Premises</t>
  </si>
  <si>
    <t xml:space="preserve">Recommendation</t>
  </si>
  <si>
    <t xml:space="preserve">Cost Model</t>
  </si>
  <si>
    <t xml:space="preserve">Pay-per-use (vCPU/RAM/hour). Elastic scaling – only pay for what runs.</t>
  </si>
  <si>
    <t xml:space="preserve">CapEx hardware + OpEx (power, cooling, staff). Fixed capacity costs regardless of utilization.</t>
  </si>
  <si>
    <t xml:space="preserve">Maximize on-prem utilization (&gt;70%). Use cloud for burst/elastic workloads.</t>
  </si>
  <si>
    <t xml:space="preserve">Native billing dashboards (Cost Explorer, GCP Billing, Azure Cost Mgmt). Per-resource tagging.</t>
  </si>
  <si>
    <t xml:space="preserve">No built-in billing. Requires custom metering via Kubecost/OpenCost with cost model.</t>
  </si>
  <si>
    <t xml:space="preserve">Deploy Kubecost on-prem with custom pricing config. Map to finance cost model.</t>
  </si>
  <si>
    <t xml:space="preserve">Resize instances on-demand in minutes. Instance families for CPU/memory/GPU optimization.</t>
  </si>
  <si>
    <t xml:space="preserve">Constrained by physical hardware. Lead times of weeks for new hardware.</t>
  </si>
  <si>
    <t xml:space="preserve">Use VPA + Goldilocks on both. Prioritize software right-sizing on-prem for capacity relief.</t>
  </si>
  <si>
    <t xml:space="preserve">Cloud-native managed node pools. Karpenter for intelligent provisioning.</t>
  </si>
  <si>
    <t xml:space="preserve">Physical hardware limits. Cluster Autoscaler with Cluster API or manual node provisioning.</t>
  </si>
  <si>
    <t xml:space="preserve">Cluster Autoscaler + Cluster API for on-prem. Karpenter for cloud. Both should have HPA/KEDA.</t>
  </si>
  <si>
    <t xml:space="preserve">Chargeback</t>
  </si>
  <si>
    <t xml:space="preserve">Tag-based billing. Automatic cost attribution via cloud console.</t>
  </si>
  <si>
    <t xml:space="preserve">Manual cost models. Requires IPAM + storage allocation tracking + staff time.</t>
  </si>
  <si>
    <t xml:space="preserve">Use ResourceQuota + Kubecost allocation API for showback first, chargeback later.</t>
  </si>
  <si>
    <t xml:space="preserve">Idle Resources</t>
  </si>
  <si>
    <t xml:space="preserve">Immediately visible in billing. Idle compute has direct hourly cost.</t>
  </si>
  <si>
    <t xml:space="preserve">Hidden in fixed CapEx. Idle capacity doesn't save money – hardware is already bought.</t>
  </si>
  <si>
    <t xml:space="preserve">On-prem: focus on consolidation and power-down. Cloud: terminate idle nodes immediately.</t>
  </si>
  <si>
    <t xml:space="preserve">Multi-tenancy</t>
  </si>
  <si>
    <t xml:space="preserve">Namespaces + cloud IAM + cost allocation tags.</t>
  </si>
  <si>
    <t xml:space="preserve">Namespaces + on-prem LDAP/RBAC. Internal accounting for chargeback.</t>
  </si>
  <si>
    <t xml:space="preserve">Enforce namespace labels + ResourceQuota everywhere. OPA for policy consistency.</t>
  </si>
  <si>
    <t xml:space="preserve">Storage Costs</t>
  </si>
  <si>
    <t xml:space="preserve">PVC backed by cloud storage (billed per GB/month). Premium vs standard tiers.</t>
  </si>
  <si>
    <t xml:space="preserve">SAN/NAS/Ceph – fixed CapEx. Cost = amortization + power + staff + support.</t>
  </si>
  <si>
    <t xml:space="preserve">Tier storage on both: SSD (hot), HDD (warm), object (cold). Audit PVCs regularly.</t>
  </si>
  <si>
    <t xml:space="preserve">Network Costs</t>
  </si>
  <si>
    <t xml:space="preserve">Egress/ingress charges. Inter-AZ traffic costs ($0.01–0.02/GB).</t>
  </si>
  <si>
    <t xml:space="preserve">Internal traffic typically free. External bandwidth charged at ISP rate.</t>
  </si>
  <si>
    <t xml:space="preserve">Topology-aware routing for cloud (same-AZ). Use VPC endpoints for cloud service calls.</t>
  </si>
  <si>
    <t xml:space="preserve">Disaster Recovery</t>
  </si>
  <si>
    <t xml:space="preserve">Multi-region replication. Managed backup services.</t>
  </si>
  <si>
    <t xml:space="preserve">Manual DR setup. Higher complexity for cross-site replication.</t>
  </si>
  <si>
    <t xml:space="preserve">Factor DR costs into total cost model for fair cloud vs on-prem comparison.</t>
  </si>
  <si>
    <t xml:space="preserve">Management Overhead</t>
  </si>
  <si>
    <t xml:space="preserve">Managed control plane (no etcd/API server management).</t>
  </si>
  <si>
    <t xml:space="preserve">Full cluster management responsibility (upgrades, certs, etcd backups).</t>
  </si>
  <si>
    <t xml:space="preserve">Quantify platform engineering staff cost in on-prem total cost of ownership.</t>
  </si>
  <si>
    <t xml:space="preserve">Compliance</t>
  </si>
  <si>
    <t xml:space="preserve">Cloud compliance certifications (SOC2, ISO27001, PCI, HIPAA).</t>
  </si>
  <si>
    <t xml:space="preserve">Self-managed compliance. Data sovereignty and air-gap benefits.</t>
  </si>
  <si>
    <t xml:space="preserve">Data residency requirements may mandate on-prem. Factor audit/compliance costs.</t>
  </si>
  <si>
    <t xml:space="preserve">Kubernetes Resource Requests &amp; Limits Tracker</t>
  </si>
  <si>
    <t xml:space="preserve">Track and optimize pod resource configuration per namespace</t>
  </si>
  <si>
    <t xml:space="preserve">Namespace</t>
  </si>
  <si>
    <t xml:space="preserve">Deployment/App</t>
  </si>
  <si>
    <t xml:space="preserve">CPU Request</t>
  </si>
  <si>
    <t xml:space="preserve">CPU Limit</t>
  </si>
  <si>
    <t xml:space="preserve">Mem Request (Mi)</t>
  </si>
  <si>
    <t xml:space="preserve">Mem Limit (Mi)</t>
  </si>
  <si>
    <t xml:space="preserve">Replicas</t>
  </si>
  <si>
    <t xml:space="preserve">Actual CPU Usage %</t>
  </si>
  <si>
    <t xml:space="preserve">Actual Mem Usage %</t>
  </si>
  <si>
    <t xml:space="preserve">CPU Over-Provisioned?</t>
  </si>
  <si>
    <t xml:space="preserve">Mem Over-Provisioned?</t>
  </si>
  <si>
    <t xml:space="preserve">Action Required</t>
  </si>
  <si>
    <t xml:space="preserve">Priority</t>
  </si>
  <si>
    <t xml:space="preserve">team-frontend</t>
  </si>
  <si>
    <t xml:space="preserve">nginx-ingress</t>
  </si>
  <si>
    <t xml:space="preserve">500m</t>
  </si>
  <si>
    <t xml:space="preserve">1000m</t>
  </si>
  <si>
    <t xml:space="preserve">Right-size CPU + Mem</t>
  </si>
  <si>
    <t xml:space="preserve">🔴 High</t>
  </si>
  <si>
    <t xml:space="preserve">Frontend Squad</t>
  </si>
  <si>
    <t xml:space="preserve">webapp-api</t>
  </si>
  <si>
    <t xml:space="preserve">2000m</t>
  </si>
  <si>
    <t xml:space="preserve">static-assets</t>
  </si>
  <si>
    <t xml:space="preserve">100m</t>
  </si>
  <si>
    <t xml:space="preserve">team-backend</t>
  </si>
  <si>
    <t xml:space="preserve">auth-service</t>
  </si>
  <si>
    <t xml:space="preserve">No action</t>
  </si>
  <si>
    <t xml:space="preserve">🟡 Medium</t>
  </si>
  <si>
    <t xml:space="preserve">Backend Squad</t>
  </si>
  <si>
    <t xml:space="preserve">payment-processor</t>
  </si>
  <si>
    <t xml:space="preserve">4000m</t>
  </si>
  <si>
    <t xml:space="preserve">🟢 Low</t>
  </si>
  <si>
    <t xml:space="preserve">notification-svc</t>
  </si>
  <si>
    <t xml:space="preserve">200m</t>
  </si>
  <si>
    <t xml:space="preserve">team-data</t>
  </si>
  <si>
    <t xml:space="preserve">spark-driver</t>
  </si>
  <si>
    <t xml:space="preserve">8000m</t>
  </si>
  <si>
    <t xml:space="preserve">Data Platform</t>
  </si>
  <si>
    <t xml:space="preserve">kafka-consumer</t>
  </si>
  <si>
    <t xml:space="preserve">etl-batch-job</t>
  </si>
  <si>
    <t xml:space="preserve">team-ml</t>
  </si>
  <si>
    <t xml:space="preserve">inference-server</t>
  </si>
  <si>
    <t xml:space="preserve">ML Platform</t>
  </si>
  <si>
    <t xml:space="preserve">feature-pipeline</t>
  </si>
  <si>
    <t xml:space="preserve">monitoring</t>
  </si>
  <si>
    <t xml:space="preserve">prometheus</t>
  </si>
  <si>
    <t xml:space="preserve">grafana</t>
  </si>
  <si>
    <t xml:space="preserve">alertmanager</t>
  </si>
  <si>
    <t xml:space="preserve">platform</t>
  </si>
  <si>
    <t xml:space="preserve">cert-manager</t>
  </si>
  <si>
    <t xml:space="preserve">300m</t>
  </si>
  <si>
    <t xml:space="preserve">external-dns</t>
  </si>
  <si>
    <t xml:space="preserve">50m</t>
  </si>
  <si>
    <t xml:space="preserve">dev-team-a</t>
  </si>
  <si>
    <t xml:space="preserve">dev-api-server</t>
  </si>
  <si>
    <t xml:space="preserve">Team Alpha</t>
  </si>
  <si>
    <t xml:space="preserve">dev-team-b</t>
  </si>
  <si>
    <t xml:space="preserve">dev-ml-notebook</t>
  </si>
  <si>
    <t xml:space="preserve">Team Beta</t>
  </si>
  <si>
    <t xml:space="preserve">staging</t>
  </si>
  <si>
    <t xml:space="preserve">staging-webapp</t>
  </si>
  <si>
    <t xml:space="preserve">QA / Release</t>
  </si>
  <si>
    <t xml:space="preserve">staging-db-proxy</t>
  </si>
  <si>
    <t xml:space="preserve">SUMMARY</t>
  </si>
  <si>
    <t xml:space="preserve">Namespace Budget &amp; Cost Allocation</t>
  </si>
  <si>
    <t xml:space="preserve">Monthly cost tracking, budget alerts, and chargeback reporting</t>
  </si>
  <si>
    <t xml:space="preserve">Team / Owner</t>
  </si>
  <si>
    <t xml:space="preserve">Cost Center</t>
  </si>
  <si>
    <t xml:space="preserve">Monthly Budget ($)</t>
  </si>
  <si>
    <t xml:space="preserve">Jan Actual ($)</t>
  </si>
  <si>
    <t xml:space="preserve">Feb Actual ($)</t>
  </si>
  <si>
    <t xml:space="preserve">Mar Actual ($)</t>
  </si>
  <si>
    <t xml:space="preserve">Q1 Total ($)</t>
  </si>
  <si>
    <t xml:space="preserve">Q1 Budget ($)</t>
  </si>
  <si>
    <t xml:space="preserve">Q1 Variance ($)</t>
  </si>
  <si>
    <t xml:space="preserve">Q1 Variance %</t>
  </si>
  <si>
    <t xml:space="preserve">YTD Actual ($)</t>
  </si>
  <si>
    <t xml:space="preserve">YTD Budget ($)</t>
  </si>
  <si>
    <t xml:space="preserve">YTD Variance %</t>
  </si>
  <si>
    <t xml:space="preserve">Alert Threshold</t>
  </si>
  <si>
    <t xml:space="preserve">Alert Status</t>
  </si>
  <si>
    <t xml:space="preserve">CC-1001</t>
  </si>
  <si>
    <t xml:space="preserve">80%</t>
  </si>
  <si>
    <t xml:space="preserve">🟠 90% WARNING</t>
  </si>
  <si>
    <t xml:space="preserve">CC-1002</t>
  </si>
  <si>
    <t xml:space="preserve">CC-1003</t>
  </si>
  <si>
    <t xml:space="preserve">CC-1004</t>
  </si>
  <si>
    <t xml:space="preserve">🔴 OVER BUDGET</t>
  </si>
  <si>
    <t xml:space="preserve">CC-2001</t>
  </si>
  <si>
    <t xml:space="preserve">CC-3001</t>
  </si>
  <si>
    <t xml:space="preserve">CC-3002</t>
  </si>
  <si>
    <t xml:space="preserve">CC-4001</t>
  </si>
  <si>
    <t xml:space="preserve">production</t>
  </si>
  <si>
    <t xml:space="preserve">security</t>
  </si>
  <si>
    <t xml:space="preserve">CC-5001</t>
  </si>
  <si>
    <t xml:space="preserve">networking</t>
  </si>
  <si>
    <t xml:space="preserve">Network Team</t>
  </si>
  <si>
    <t xml:space="preserve">CC-5002</t>
  </si>
  <si>
    <t xml:space="preserve">TOTAL</t>
  </si>
  <si>
    <t xml:space="preserve">FinOps Optimization Actions Tracker</t>
  </si>
  <si>
    <t xml:space="preserve">Track, prioritize, and manage all cost optimization initiatives</t>
  </si>
  <si>
    <t xml:space="preserve">#</t>
  </si>
  <si>
    <t xml:space="preserve">Optimization Action</t>
  </si>
  <si>
    <t xml:space="preserve">Category</t>
  </si>
  <si>
    <t xml:space="preserve">Environment</t>
  </si>
  <si>
    <t xml:space="preserve">Estimated Monthly Savings ($)</t>
  </si>
  <si>
    <t xml:space="preserve">Effort (days)</t>
  </si>
  <si>
    <t xml:space="preserve">Impact</t>
  </si>
  <si>
    <t xml:space="preserve">Complexity</t>
  </si>
  <si>
    <t xml:space="preserve">Due Date</t>
  </si>
  <si>
    <t xml:space="preserve">Actual Savings ($)</t>
  </si>
  <si>
    <t xml:space="preserve">Right-size oversized pods (VPA)</t>
  </si>
  <si>
    <t xml:space="preserve">Both</t>
  </si>
  <si>
    <t xml:space="preserve">High</t>
  </si>
  <si>
    <t xml:space="preserve">Low</t>
  </si>
  <si>
    <t xml:space="preserve">In Progress</t>
  </si>
  <si>
    <t xml:space="preserve">2025-02-28</t>
  </si>
  <si>
    <t xml:space="preserve">VPA in recommendation mode; 47 deployments identified</t>
  </si>
  <si>
    <t xml:space="preserve">Enable Karpenter + Spot nodes</t>
  </si>
  <si>
    <t xml:space="preserve">Cloud</t>
  </si>
  <si>
    <t xml:space="preserve">Medium</t>
  </si>
  <si>
    <t xml:space="preserve">Planned</t>
  </si>
  <si>
    <t xml:space="preserve">2025-03-31</t>
  </si>
  <si>
    <t xml:space="preserve">Replace Cluster Autoscaler on EKS prod</t>
  </si>
  <si>
    <t xml:space="preserve">Deploy KEDA scale-to-zero</t>
  </si>
  <si>
    <t xml:space="preserve">ETL and ML batch workloads first</t>
  </si>
  <si>
    <t xml:space="preserve">Enforce ResourceQuota all NS</t>
  </si>
  <si>
    <t xml:space="preserve">Completed</t>
  </si>
  <si>
    <t xml:space="preserve">2025-01-31</t>
  </si>
  <si>
    <t xml:space="preserve">All 24 namespaces now have quotas</t>
  </si>
  <si>
    <t xml:space="preserve">Delete orphaned PVCs</t>
  </si>
  <si>
    <t xml:space="preserve">Storage</t>
  </si>
  <si>
    <t xml:space="preserve">2025-01-15</t>
  </si>
  <si>
    <t xml:space="preserve">Freed 8.4 TB across clusters</t>
  </si>
  <si>
    <t xml:space="preserve">Purchase Savings Plans (AWS)</t>
  </si>
  <si>
    <t xml:space="preserve">Reserved Capacity</t>
  </si>
  <si>
    <t xml:space="preserve">2025-03-15</t>
  </si>
  <si>
    <t xml:space="preserve">1-year compute savings plan for baseline</t>
  </si>
  <si>
    <t xml:space="preserve">Migrate dev to spot instances</t>
  </si>
  <si>
    <t xml:space="preserve">Cost Reduction</t>
  </si>
  <si>
    <t xml:space="preserve">Dev Lead</t>
  </si>
  <si>
    <t xml:space="preserve">dev-team-a and dev-team-b namespaces</t>
  </si>
  <si>
    <t xml:space="preserve">Implement topology-aware routing</t>
  </si>
  <si>
    <t xml:space="preserve">Network</t>
  </si>
  <si>
    <t xml:space="preserve">Network Eng</t>
  </si>
  <si>
    <t xml:space="preserve">2025-04-30</t>
  </si>
  <si>
    <t xml:space="preserve">Reduce inter-AZ traffic costs</t>
  </si>
  <si>
    <t xml:space="preserve">Downgrade dev storage class</t>
  </si>
  <si>
    <t xml:space="preserve">Storage Team</t>
  </si>
  <si>
    <t xml:space="preserve">2025-01-20</t>
  </si>
  <si>
    <t xml:space="preserve">Dev PVCs moved from SSD to HDD</t>
  </si>
  <si>
    <t xml:space="preserve">Deploy OPA tag enforcement</t>
  </si>
  <si>
    <t xml:space="preserve">Required labels: team,cost-center,env</t>
  </si>
  <si>
    <t xml:space="preserve">Consolidate dev/test clusters</t>
  </si>
  <si>
    <t xml:space="preserve">Infrastructure</t>
  </si>
  <si>
    <t xml:space="preserve">Arch Team</t>
  </si>
  <si>
    <t xml:space="preserve">2025-06-30</t>
  </si>
  <si>
    <t xml:space="preserve">Merge 3 dev clusters into 1 shared cluster</t>
  </si>
  <si>
    <t xml:space="preserve">ARM/Graviton node pool</t>
  </si>
  <si>
    <t xml:space="preserve">2025-05-31</t>
  </si>
  <si>
    <t xml:space="preserve">20-40% cheaper per vCPU for compatible apps</t>
  </si>
  <si>
    <t xml:space="preserve">Right-size staging environment</t>
  </si>
  <si>
    <t xml:space="preserve">QA Lead</t>
  </si>
  <si>
    <t xml:space="preserve">Staging over-provisioned by ~60%</t>
  </si>
  <si>
    <t xml:space="preserve">Optimize Prometheus retention</t>
  </si>
  <si>
    <t xml:space="preserve">Monitoring</t>
  </si>
  <si>
    <t xml:space="preserve">SRE</t>
  </si>
  <si>
    <t xml:space="preserve">2025-01-10</t>
  </si>
  <si>
    <t xml:space="preserve">Reduced from 90d to 30d retention</t>
  </si>
  <si>
    <t xml:space="preserve">Enable cluster autoscaler tuning</t>
  </si>
  <si>
    <t xml:space="preserve">On-Prem</t>
  </si>
  <si>
    <t xml:space="preserve">2025-04-15</t>
  </si>
  <si>
    <t xml:space="preserve">Lower scale-down threshold to 40%</t>
  </si>
  <si>
    <t xml:space="preserve">Image registry cleanup</t>
  </si>
  <si>
    <t xml:space="preserve">DevOps</t>
  </si>
  <si>
    <t xml:space="preserve">Prune &gt;90d unused image tags</t>
  </si>
  <si>
    <t xml:space="preserve">LimitRange defaults all namespaces</t>
  </si>
  <si>
    <t xml:space="preserve">Prevent no-limit pods in new namespaces</t>
  </si>
  <si>
    <t xml:space="preserve">Remove idle load balancers</t>
  </si>
  <si>
    <t xml:space="preserve">Audit 12 unused LB services</t>
  </si>
  <si>
    <t xml:space="preserve">Goldilocks dashboard rollout</t>
  </si>
  <si>
    <t xml:space="preserve">Visibility</t>
  </si>
  <si>
    <t xml:space="preserve">Self-service right-sizing for all dev teams</t>
  </si>
  <si>
    <t xml:space="preserve">Infracost in CI/CD pipeline</t>
  </si>
  <si>
    <t xml:space="preserve">Cost diff on all Terraform/Helm PRs</t>
  </si>
  <si>
    <t xml:space="preserve">TOTALS</t>
  </si>
  <si>
    <t xml:space="preserve">FinOps Tooling Matrix – Kubernetes</t>
  </si>
  <si>
    <t xml:space="preserve">Comprehensive tool inventory for Cloud &amp; On-Premises FinOps</t>
  </si>
  <si>
    <t xml:space="preserve">Tool</t>
  </si>
  <si>
    <t xml:space="preserve">License</t>
  </si>
  <si>
    <t xml:space="preserve">FinOps Pillar</t>
  </si>
  <si>
    <t xml:space="preserve">Primary Use Case</t>
  </si>
  <si>
    <t xml:space="preserve">Integration</t>
  </si>
  <si>
    <t xml:space="preserve">Maturity Stage</t>
  </si>
  <si>
    <t xml:space="preserve">Kubecost</t>
  </si>
  <si>
    <t xml:space="preserve">Cost Monitoring</t>
  </si>
  <si>
    <t xml:space="preserve">✅</t>
  </si>
  <si>
    <t xml:space="preserve">Free / Enterprise</t>
  </si>
  <si>
    <t xml:space="preserve">Inform</t>
  </si>
  <si>
    <t xml:space="preserve">Per-pod/namespace cost allocation, savings recommendations</t>
  </si>
  <si>
    <t xml:space="preserve">Prometheus, Grafana, Slack</t>
  </si>
  <si>
    <t xml:space="preserve">All Levels</t>
  </si>
  <si>
    <t xml:space="preserve">🔴 Critical</t>
  </si>
  <si>
    <t xml:space="preserve">OpenCost</t>
  </si>
  <si>
    <t xml:space="preserve">Open Source (CNCF)</t>
  </si>
  <si>
    <t xml:space="preserve">Open spec for K8s cost; REST API for cost queries</t>
  </si>
  <si>
    <t xml:space="preserve">Prometheus, BigQuery</t>
  </si>
  <si>
    <t xml:space="preserve">Prometheus</t>
  </si>
  <si>
    <t xml:space="preserve">Metrics Platform</t>
  </si>
  <si>
    <t xml:space="preserve">Open Source</t>
  </si>
  <si>
    <t xml:space="preserve">Foundation for all K8s metrics and cost dashboards</t>
  </si>
  <si>
    <t xml:space="preserve">Grafana, Alertmanager</t>
  </si>
  <si>
    <t xml:space="preserve">Grafana</t>
  </si>
  <si>
    <t xml:space="preserve">Visualization</t>
  </si>
  <si>
    <t xml:space="preserve">Open Source / Cloud</t>
  </si>
  <si>
    <t xml:space="preserve">Cost dashboards, utilization trends, anomaly visualization</t>
  </si>
  <si>
    <t xml:space="preserve">Prometheus, Loki, Tempo</t>
  </si>
  <si>
    <t xml:space="preserve">VPA</t>
  </si>
  <si>
    <t xml:space="preserve">Optimize</t>
  </si>
  <si>
    <t xml:space="preserve">Automatic CPU/memory request recommendations and updates</t>
  </si>
  <si>
    <t xml:space="preserve">K8s native, Goldilocks</t>
  </si>
  <si>
    <t xml:space="preserve">Walk+</t>
  </si>
  <si>
    <t xml:space="preserve">🟠 High</t>
  </si>
  <si>
    <t xml:space="preserve">HPA</t>
  </si>
  <si>
    <t xml:space="preserve">Open Source (K8s native)</t>
  </si>
  <si>
    <t xml:space="preserve">Horizontal pod scaling on CPU/memory/custom metrics</t>
  </si>
  <si>
    <t xml:space="preserve">K8s native, KEDA</t>
  </si>
  <si>
    <t xml:space="preserve">KEDA</t>
  </si>
  <si>
    <t xml:space="preserve">Event-driven scale-to-zero; 60+ scalers</t>
  </si>
  <si>
    <t xml:space="preserve">Kafka, SQS, RabbitMQ, Redis</t>
  </si>
  <si>
    <t xml:space="preserve">Karpenter</t>
  </si>
  <si>
    <t xml:space="preserve">Node Provisioning</t>
  </si>
  <si>
    <t xml:space="preserve">❌</t>
  </si>
  <si>
    <t xml:space="preserve">Open Source (AWS/K8s)</t>
  </si>
  <si>
    <t xml:space="preserve">Just-in-time node provisioning; cheapest instance selection</t>
  </si>
  <si>
    <t xml:space="preserve">AWS EC2, GCP (beta)</t>
  </si>
  <si>
    <t xml:space="preserve">Cluster Autoscaler</t>
  </si>
  <si>
    <t xml:space="preserve">Node Autoscaling</t>
  </si>
  <si>
    <t xml:space="preserve">Scale node groups up/down based on pod scheduling needs</t>
  </si>
  <si>
    <t xml:space="preserve">Cloud ASG/MIG/VMSS, Cluster API</t>
  </si>
  <si>
    <t xml:space="preserve">Goldilocks</t>
  </si>
  <si>
    <t xml:space="preserve">Recommendations</t>
  </si>
  <si>
    <t xml:space="preserve">Dashboard for VPA recommendations; developer self-service</t>
  </si>
  <si>
    <t xml:space="preserve">VPA, Kubernetes</t>
  </si>
  <si>
    <t xml:space="preserve">OPA/Gatekeeper</t>
  </si>
  <si>
    <t xml:space="preserve">Policy Enforcement</t>
  </si>
  <si>
    <t xml:space="preserve">Operate</t>
  </si>
  <si>
    <t xml:space="preserve">Admission control: enforce labels, limits, storage policies</t>
  </si>
  <si>
    <t xml:space="preserve">K8s API, CI/CD</t>
  </si>
  <si>
    <t xml:space="preserve">Run+</t>
  </si>
  <si>
    <t xml:space="preserve">Kyverno</t>
  </si>
  <si>
    <t xml:space="preserve">K8s-native policies; simpler than OPA for common use cases</t>
  </si>
  <si>
    <t xml:space="preserve">K8s API</t>
  </si>
  <si>
    <t xml:space="preserve">Infracost</t>
  </si>
  <si>
    <t xml:space="preserve">CI/CD Cost</t>
  </si>
  <si>
    <t xml:space="preserve">Cost diff on Terraform/Helm changes in pull requests</t>
  </si>
  <si>
    <t xml:space="preserve">GitHub, GitLab, Terraform</t>
  </si>
  <si>
    <t xml:space="preserve">AWS Cost Explorer</t>
  </si>
  <si>
    <t xml:space="preserve">Cloud Billing</t>
  </si>
  <si>
    <t xml:space="preserve">AWS Native (Free)</t>
  </si>
  <si>
    <t xml:space="preserve">Native AWS billing; reservation recommendations; anomaly detection</t>
  </si>
  <si>
    <t xml:space="preserve">AWS Budgets, Cost Anomaly</t>
  </si>
  <si>
    <t xml:space="preserve">🟠 High (AWS)</t>
  </si>
  <si>
    <t xml:space="preserve">Azure Cost Mgmt</t>
  </si>
  <si>
    <t xml:space="preserve">Azure Native (Free)</t>
  </si>
  <si>
    <t xml:space="preserve">Native Azure billing; budgets; advisor recommendations</t>
  </si>
  <si>
    <t xml:space="preserve">Azure Monitor, Advisor</t>
  </si>
  <si>
    <t xml:space="preserve">🟠 High (Azure)</t>
  </si>
  <si>
    <t xml:space="preserve">GCP Cost Tools</t>
  </si>
  <si>
    <t xml:space="preserve">GCP Native (Free)</t>
  </si>
  <si>
    <t xml:space="preserve">BigQuery billing export; committed use discount management</t>
  </si>
  <si>
    <t xml:space="preserve">BigQuery, Looker Studio</t>
  </si>
  <si>
    <t xml:space="preserve">🟠 High (GCP)</t>
  </si>
  <si>
    <t xml:space="preserve">Argo CD</t>
  </si>
  <si>
    <t xml:space="preserve">GitOps</t>
  </si>
  <si>
    <t xml:space="preserve">Drift detection; enforce cost-tagged deployments via GitOps</t>
  </si>
  <si>
    <t xml:space="preserve">Helm, Kustomize, Terraform</t>
  </si>
  <si>
    <t xml:space="preserve">Terraform + Infracost</t>
  </si>
  <si>
    <t xml:space="preserve">IaC + Cost Est.</t>
  </si>
  <si>
    <t xml:space="preserve">Cost-estimated infrastructure provisioning; prevent over-provisioning</t>
  </si>
  <si>
    <t xml:space="preserve">Infracost, CI/CD</t>
  </si>
  <si>
    <t xml:space="preserve">Crossplane</t>
  </si>
  <si>
    <t xml:space="preserve">Infrastructure Mgmt</t>
  </si>
  <si>
    <t xml:space="preserve">GitOps-driven cloud resource provisioning</t>
  </si>
  <si>
    <t xml:space="preserve">AWS, GCP, Azure APIs</t>
  </si>
  <si>
    <t xml:space="preserve">Fly+</t>
  </si>
  <si>
    <t xml:space="preserve">Kubecost Actions</t>
  </si>
  <si>
    <t xml:space="preserve">Auto-Remediation</t>
  </si>
  <si>
    <t xml:space="preserve">Enterprise</t>
  </si>
  <si>
    <t xml:space="preserve">Automated right-sizing and namespace termination</t>
  </si>
  <si>
    <t xml:space="preserve">Kubecost, Slack, Jira</t>
  </si>
  <si>
    <t xml:space="preserve">Tagging Strategy &amp; Governance Policies</t>
  </si>
  <si>
    <t xml:space="preserve">Enforce label compliance and policy-as-code for FinOps attribution</t>
  </si>
  <si>
    <t xml:space="preserve">  REQUIRED KUBERNETES LABELS / TAGS</t>
  </si>
  <si>
    <t xml:space="preserve">Label Key</t>
  </si>
  <si>
    <t xml:space="preserve">Example Values</t>
  </si>
  <si>
    <t xml:space="preserve">Required?</t>
  </si>
  <si>
    <t xml:space="preserve">Enforced By</t>
  </si>
  <si>
    <t xml:space="preserve">FinOps Purpose</t>
  </si>
  <si>
    <t xml:space="preserve">Chargeback Use</t>
  </si>
  <si>
    <t xml:space="preserve">team</t>
  </si>
  <si>
    <t xml:space="preserve">platform, data-eng, frontend, ml</t>
  </si>
  <si>
    <t xml:space="preserve">✅ Required</t>
  </si>
  <si>
    <t xml:space="preserve">Identifies owning team for cost attribution</t>
  </si>
  <si>
    <t xml:space="preserve">Showback &amp; Chargeback</t>
  </si>
  <si>
    <t xml:space="preserve">environment</t>
  </si>
  <si>
    <t xml:space="preserve">prod, staging, dev, test</t>
  </si>
  <si>
    <t xml:space="preserve">Separate cost by lifecycle tier</t>
  </si>
  <si>
    <t xml:space="preserve">Budget segmentation</t>
  </si>
  <si>
    <t xml:space="preserve">app</t>
  </si>
  <si>
    <t xml:space="preserve">checkout-svc, auth-api</t>
  </si>
  <si>
    <t xml:space="preserve">Per-application cost tracking</t>
  </si>
  <si>
    <t xml:space="preserve">Service-level billing</t>
  </si>
  <si>
    <t xml:space="preserve">cost-center</t>
  </si>
  <si>
    <t xml:space="preserve">CC-1001, CC-2045</t>
  </si>
  <si>
    <t xml:space="preserve">Financial chargeback code</t>
  </si>
  <si>
    <t xml:space="preserve">Finance chargeback</t>
  </si>
  <si>
    <t xml:space="preserve">project</t>
  </si>
  <si>
    <t xml:space="preserve">project-phoenix, plat-2025</t>
  </si>
  <si>
    <t xml:space="preserve">🟡 Recommended</t>
  </si>
  <si>
    <t xml:space="preserve">LimitRange policy</t>
  </si>
  <si>
    <t xml:space="preserve">Project-level budget tracking</t>
  </si>
  <si>
    <t xml:space="preserve">Project cost tracking</t>
  </si>
  <si>
    <t xml:space="preserve">managed-by</t>
  </si>
  <si>
    <t xml:space="preserve">terraform, helm, manual</t>
  </si>
  <si>
    <t xml:space="preserve">CI/CD validation</t>
  </si>
  <si>
    <t xml:space="preserve">IaC governance and drift detection</t>
  </si>
  <si>
    <t xml:space="preserve">Governance audit</t>
  </si>
  <si>
    <t xml:space="preserve">criticality</t>
  </si>
  <si>
    <t xml:space="preserve">critical, standard, low</t>
  </si>
  <si>
    <t xml:space="preserve">Advisory</t>
  </si>
  <si>
    <t xml:space="preserve">Align spend with business priority</t>
  </si>
  <si>
    <t xml:space="preserve">SLA cost alignment</t>
  </si>
  <si>
    <t xml:space="preserve">data-classification</t>
  </si>
  <si>
    <t xml:space="preserve">public, internal, confidential</t>
  </si>
  <si>
    <t xml:space="preserve">Security policy</t>
  </si>
  <si>
    <t xml:space="preserve">Compliance and security cost separation</t>
  </si>
  <si>
    <t xml:space="preserve">Compliance reporting</t>
  </si>
  <si>
    <t xml:space="preserve">version</t>
  </si>
  <si>
    <t xml:space="preserve">v1.2.3, main, release-2025</t>
  </si>
  <si>
    <t xml:space="preserve">⚪ Optional</t>
  </si>
  <si>
    <t xml:space="preserve">Track cost per version/release</t>
  </si>
  <si>
    <t xml:space="preserve">Release cost tracking</t>
  </si>
  <si>
    <t xml:space="preserve">owner</t>
  </si>
  <si>
    <t xml:space="preserve">alice@example.com</t>
  </si>
  <si>
    <t xml:space="preserve">Individual accountability for workloads</t>
  </si>
  <si>
    <t xml:space="preserve">Escalation routing</t>
  </si>
  <si>
    <t xml:space="preserve">  OPA/GATEKEEPER POLICIES – FINOPS ENFORCEMENT</t>
  </si>
  <si>
    <t xml:space="preserve">Policy Name</t>
  </si>
  <si>
    <t xml:space="preserve">Mechanism</t>
  </si>
  <si>
    <t xml:space="preserve">Scope</t>
  </si>
  <si>
    <t xml:space="preserve">Enforcement Mode</t>
  </si>
  <si>
    <t xml:space="preserve">Severity</t>
  </si>
  <si>
    <t xml:space="preserve">require-resource-requests</t>
  </si>
  <si>
    <t xml:space="preserve">All pods</t>
  </si>
  <si>
    <t xml:space="preserve">Deny</t>
  </si>
  <si>
    <t xml:space="preserve">Prevent unscheduled pods; mandatory for FinOps</t>
  </si>
  <si>
    <t xml:space="preserve">✅ Active</t>
  </si>
  <si>
    <t xml:space="preserve">require-resource-limits</t>
  </si>
  <si>
    <t xml:space="preserve">Prevent runaway resource consumption</t>
  </si>
  <si>
    <t xml:space="preserve">require-namespace-labels</t>
  </si>
  <si>
    <t xml:space="preserve">All namespaces</t>
  </si>
  <si>
    <t xml:space="preserve">team, cost-center, environment mandatory</t>
  </si>
  <si>
    <t xml:space="preserve">🔄 In Progress</t>
  </si>
  <si>
    <t xml:space="preserve">block-privileged-containers</t>
  </si>
  <si>
    <t xml:space="preserve">Security + cost; privileged pods are higher risk</t>
  </si>
  <si>
    <t xml:space="preserve">restrict-premium-storage-dev</t>
  </si>
  <si>
    <t xml:space="preserve">dev/test namespaces</t>
  </si>
  <si>
    <t xml:space="preserve">Block SSD storage class for non-prod workloads</t>
  </si>
  <si>
    <t xml:space="preserve">limit-pvc-max-size</t>
  </si>
  <si>
    <t xml:space="preserve">Warn</t>
  </si>
  <si>
    <t xml:space="preserve">Cap PVC requests at 500Gi; requires approval above</t>
  </si>
  <si>
    <t xml:space="preserve">⏳ Planned</t>
  </si>
  <si>
    <t xml:space="preserve">require-pod-disruption-budget</t>
  </si>
  <si>
    <t xml:space="preserve">Prod deployments</t>
  </si>
  <si>
    <t xml:space="preserve">Ensure graceful spot interruption handling</t>
  </si>
  <si>
    <t xml:space="preserve">deny-always-pull-policy</t>
  </si>
  <si>
    <t xml:space="preserve">Avoid large image pulls on every pod start</t>
  </si>
  <si>
    <t xml:space="preserve">restrict-node-selectors</t>
  </si>
  <si>
    <t xml:space="preserve">GPU/spot nodes</t>
  </si>
  <si>
    <t xml:space="preserve">Control which workloads run on expensive nodes</t>
  </si>
  <si>
    <t xml:space="preserve">namespace-resource-quota</t>
  </si>
  <si>
    <t xml:space="preserve">K8s Native</t>
  </si>
  <si>
    <t xml:space="preserve">Enforce</t>
  </si>
  <si>
    <t xml:space="preserve">Cap total compute/storage per team/project</t>
  </si>
  <si>
    <t xml:space="preserve">limitrange-defaults</t>
  </si>
  <si>
    <t xml:space="preserve">Apply default</t>
  </si>
  <si>
    <t xml:space="preserve">Auto-apply sensible CPU/mem defaults</t>
  </si>
  <si>
    <t xml:space="preserve">On-Premises Kubernetes Cost Model</t>
  </si>
  <si>
    <t xml:space="preserve">CapEx/OpEx modeling for accurate on-prem cost attribution and chargeback</t>
  </si>
  <si>
    <t xml:space="preserve">  1. HARDWARE CAPITAL EXPENDITURE (CapEx)</t>
  </si>
  <si>
    <t xml:space="preserve">Asset Category</t>
  </si>
  <si>
    <t xml:space="preserve">Unit Count</t>
  </si>
  <si>
    <t xml:space="preserve">Unit Cost ($)</t>
  </si>
  <si>
    <t xml:space="preserve">Total Cost ($)</t>
  </si>
  <si>
    <t xml:space="preserve">Depreciation (yrs)</t>
  </si>
  <si>
    <t xml:space="preserve">Monthly Cost ($)</t>
  </si>
  <si>
    <t xml:space="preserve">Compute Servers (Worker Nodes)</t>
  </si>
  <si>
    <t xml:space="preserve">Compute Servers (Master Nodes)</t>
  </si>
  <si>
    <t xml:space="preserve">Storage Servers (Ceph OSD)</t>
  </si>
  <si>
    <t xml:space="preserve">Network Switches (10/25GbE)</t>
  </si>
  <si>
    <t xml:space="preserve">Load Balancers (Hardware)</t>
  </si>
  <si>
    <t xml:space="preserve">GPU Servers</t>
  </si>
  <si>
    <t xml:space="preserve">Out-of-Band Management (iDRAC/iLO)</t>
  </si>
  <si>
    <t xml:space="preserve">Rack &amp; Power Distribution Units</t>
  </si>
  <si>
    <t xml:space="preserve">UPS Systems</t>
  </si>
  <si>
    <t xml:space="preserve">Cabling &amp; SFP Modules</t>
  </si>
  <si>
    <t xml:space="preserve">CAPEX SUBTOTAL</t>
  </si>
  <si>
    <t xml:space="preserve">  2. OPERATING EXPENDITURE (OpEx – Monthly)</t>
  </si>
  <si>
    <t xml:space="preserve">OpEx Category</t>
  </si>
  <si>
    <t xml:space="preserve">Description</t>
  </si>
  <si>
    <t xml:space="preserve">Annual Cost ($)</t>
  </si>
  <si>
    <t xml:space="preserve">% of Total OpEx</t>
  </si>
  <si>
    <t xml:space="preserve">Data Center Rent / Co-lo</t>
  </si>
  <si>
    <t xml:space="preserve">Rack space, power allocation, cooling at DC</t>
  </si>
  <si>
    <t xml:space="preserve">Power (kWh)</t>
  </si>
  <si>
    <t xml:space="preserve">Compute + storage + networking power consumption</t>
  </si>
  <si>
    <t xml:space="preserve">Cooling (PUE overhead)</t>
  </si>
  <si>
    <t xml:space="preserve">PUE factor 1.35 applied to IT load</t>
  </si>
  <si>
    <t xml:space="preserve">Network Connectivity</t>
  </si>
  <si>
    <t xml:space="preserve">ISP bandwidth, cross-connects, transit</t>
  </si>
  <si>
    <t xml:space="preserve">OS &amp; Software Licenses</t>
  </si>
  <si>
    <t xml:space="preserve">RHEL, monitoring, security tools</t>
  </si>
  <si>
    <t xml:space="preserve">Storage Maintenance</t>
  </si>
  <si>
    <t xml:space="preserve">Ceph hardware support + SAN/NAS contracts</t>
  </si>
  <si>
    <t xml:space="preserve">Platform Engineering Staff</t>
  </si>
  <si>
    <t xml:space="preserve">FTE cost allocation (2 FTEs)</t>
  </si>
  <si>
    <t xml:space="preserve">Network Engineering Staff</t>
  </si>
  <si>
    <t xml:space="preserve">FTE cost allocation (0.5 FTE)</t>
  </si>
  <si>
    <t xml:space="preserve">Storage Engineering Staff</t>
  </si>
  <si>
    <t xml:space="preserve">Security &amp; Compliance</t>
  </si>
  <si>
    <t xml:space="preserve">Audits, security tooling, pen testing</t>
  </si>
  <si>
    <t xml:space="preserve">Backup &amp; DR</t>
  </si>
  <si>
    <t xml:space="preserve">Off-site backup, replication costs</t>
  </si>
  <si>
    <t xml:space="preserve">Vendor Support Contracts</t>
  </si>
  <si>
    <t xml:space="preserve">Hardware support renewals</t>
  </si>
  <si>
    <t xml:space="preserve">OPEX SUBTOTAL</t>
  </si>
  <si>
    <t xml:space="preserve">  3. TOTAL COST OF OWNERSHIP &amp; PER-UNIT PRICING</t>
  </si>
  <si>
    <t xml:space="preserve">CLUSTER CAPACITY</t>
  </si>
  <si>
    <t xml:space="preserve">Value</t>
  </si>
  <si>
    <t xml:space="preserve">Total Worker Node vCPUs</t>
  </si>
  <si>
    <t xml:space="preserve">Physical cores × 2 (HT) across 40 nodes</t>
  </si>
  <si>
    <t xml:space="preserve">Total Worker RAM (GiB)</t>
  </si>
  <si>
    <t xml:space="preserve">128 GiB per node × 40 worker nodes</t>
  </si>
  <si>
    <t xml:space="preserve">Total Usable Storage (TiB)</t>
  </si>
  <si>
    <t xml:space="preserve">Ceph raw 600 TiB × 0.67 (3-replica efficiency)</t>
  </si>
  <si>
    <t xml:space="preserve">  PER-UNIT MONTHLY COST (Total Cost / Available Units)</t>
  </si>
  <si>
    <t xml:space="preserve">Total Monthly Infrastructure Cost ($)</t>
  </si>
  <si>
    <t xml:space="preserve">Cost per vCPU-hour ($)</t>
  </si>
  <si>
    <t xml:space="preserve">Monthly cost / (total vCPUs × 730 hrs)</t>
  </si>
  <si>
    <t xml:space="preserve">Cost per GB RAM-hour ($)</t>
  </si>
  <si>
    <t xml:space="preserve">Monthly cost / (total RAM GiB × 730 hrs)</t>
  </si>
  <si>
    <t xml:space="preserve">Cost per GB Storage-month ($)</t>
  </si>
  <si>
    <t xml:space="preserve">Monthly cost / total usable storage GB</t>
  </si>
  <si>
    <t xml:space="preserve">FinOps Implementation Roadmap</t>
  </si>
  <si>
    <t xml:space="preserve">24-week phased implementation plan for Cloud &amp; On-Premises Kubernetes</t>
  </si>
  <si>
    <t xml:space="preserve">Phase</t>
  </si>
  <si>
    <t xml:space="preserve">Week</t>
  </si>
  <si>
    <t xml:space="preserve">Task</t>
  </si>
  <si>
    <t xml:space="preserve">Dependencies</t>
  </si>
  <si>
    <t xml:space="preserve">Success Criteria</t>
  </si>
  <si>
    <t xml:space="preserve">Phase 1: Foundation</t>
  </si>
  <si>
    <t xml:space="preserve">1–2</t>
  </si>
  <si>
    <t xml:space="preserve">Deploy Kubecost to all clusters</t>
  </si>
  <si>
    <t xml:space="preserve">Prometheus installed</t>
  </si>
  <si>
    <t xml:space="preserve">✅ Done</t>
  </si>
  <si>
    <t xml:space="preserve">Cost data visible per namespace</t>
  </si>
  <si>
    <t xml:space="preserve">Enable Prometheus + kube-state-metrics</t>
  </si>
  <si>
    <t xml:space="preserve">—</t>
  </si>
  <si>
    <t xml:space="preserve">All K8s metrics scraped</t>
  </si>
  <si>
    <t xml:space="preserve">2–3</t>
  </si>
  <si>
    <t xml:space="preserve">Apply ResourceQuota to all namespaces</t>
  </si>
  <si>
    <t xml:space="preserve">Namespace inventory</t>
  </si>
  <si>
    <t xml:space="preserve">All 24 namespaces have quotas</t>
  </si>
  <si>
    <t xml:space="preserve">Apply LimitRange defaults to all namespaces</t>
  </si>
  <si>
    <t xml:space="preserve">ResourceQuota done</t>
  </si>
  <si>
    <t xml:space="preserve">No pods without defaults</t>
  </si>
  <si>
    <t xml:space="preserve">3–4</t>
  </si>
  <si>
    <t xml:space="preserve">Generate baseline cost report (top 10 namespaces)</t>
  </si>
  <si>
    <t xml:space="preserve">Reporting</t>
  </si>
  <si>
    <t xml:space="preserve">Kubecost deployed</t>
  </si>
  <si>
    <t xml:space="preserve">Cost report shared with leadership</t>
  </si>
  <si>
    <t xml:space="preserve">Phase 2: Visibility</t>
  </si>
  <si>
    <t xml:space="preserve">5–6</t>
  </si>
  <si>
    <t xml:space="preserve">Enforce required labels (team/env/cost-center)</t>
  </si>
  <si>
    <t xml:space="preserve">OPA/Gatekeeper installed</t>
  </si>
  <si>
    <t xml:space="preserve">🔄 Active</t>
  </si>
  <si>
    <t xml:space="preserve">100% namespace label compliance</t>
  </si>
  <si>
    <t xml:space="preserve">Configure budget alerts per namespace</t>
  </si>
  <si>
    <t xml:space="preserve">Alerting</t>
  </si>
  <si>
    <t xml:space="preserve">Alerts firing at 80%/100%</t>
  </si>
  <si>
    <t xml:space="preserve">6–7</t>
  </si>
  <si>
    <t xml:space="preserve">Deploy VPA in recommendation mode (all deployments)</t>
  </si>
  <si>
    <t xml:space="preserve">VPA controller installed</t>
  </si>
  <si>
    <t xml:space="preserve">VPA recommendations for 80%+ workloads</t>
  </si>
  <si>
    <t xml:space="preserve">7–8</t>
  </si>
  <si>
    <t xml:space="preserve">Install Goldilocks dashboard</t>
  </si>
  <si>
    <t xml:space="preserve">VPA installed</t>
  </si>
  <si>
    <t xml:space="preserve">Dev teams can self-serve right-sizing</t>
  </si>
  <si>
    <t xml:space="preserve">Launch weekly cost showback reports to team leads</t>
  </si>
  <si>
    <t xml:space="preserve">Label compliance 80%+</t>
  </si>
  <si>
    <t xml:space="preserve">All team leads receive weekly cost email</t>
  </si>
  <si>
    <t xml:space="preserve">Phase 3: Optimization</t>
  </si>
  <si>
    <t xml:space="preserve">9–11</t>
  </si>
  <si>
    <t xml:space="preserve">Apply VPA recommendations (top 20 workloads)</t>
  </si>
  <si>
    <t xml:space="preserve">VPA recommendations 2wk old</t>
  </si>
  <si>
    <t xml:space="preserve">20+ workloads right-sized; 15% cost reduction</t>
  </si>
  <si>
    <t xml:space="preserve">Enable Cluster Autoscaler / Karpenter + spot pools</t>
  </si>
  <si>
    <t xml:space="preserve">Node pool design approved</t>
  </si>
  <si>
    <t xml:space="preserve">Nodes scale down during off-hours</t>
  </si>
  <si>
    <t xml:space="preserve">11–12</t>
  </si>
  <si>
    <t xml:space="preserve">Configure HPA for horizontally scalable services</t>
  </si>
  <si>
    <t xml:space="preserve">App Teams</t>
  </si>
  <si>
    <t xml:space="preserve">Resource requests set</t>
  </si>
  <si>
    <t xml:space="preserve">HPA active on 10+ deployments</t>
  </si>
  <si>
    <t xml:space="preserve">12–14</t>
  </si>
  <si>
    <t xml:space="preserve">Deploy KEDA for batch/async scale-to-zero</t>
  </si>
  <si>
    <t xml:space="preserve">HPA working</t>
  </si>
  <si>
    <t xml:space="preserve">ETL + ML jobs scale to zero when idle</t>
  </si>
  <si>
    <t xml:space="preserve">13–14</t>
  </si>
  <si>
    <t xml:space="preserve">Audit &amp; delete orphaned PVCs / unused namespaces</t>
  </si>
  <si>
    <t xml:space="preserve">Cleanup</t>
  </si>
  <si>
    <t xml:space="preserve">Storage inventory complete</t>
  </si>
  <si>
    <t xml:space="preserve">PVC utilization &gt; 70%</t>
  </si>
  <si>
    <t xml:space="preserve">14–16</t>
  </si>
  <si>
    <t xml:space="preserve">Purchase Reserved Instances / Savings Plans</t>
  </si>
  <si>
    <t xml:space="preserve">Reserved</t>
  </si>
  <si>
    <t xml:space="preserve">3-month baseline established</t>
  </si>
  <si>
    <t xml:space="preserve">1-yr Savings Plan covering 60% of baseline</t>
  </si>
  <si>
    <t xml:space="preserve">Phase 4: Automation</t>
  </si>
  <si>
    <t xml:space="preserve">17–18</t>
  </si>
  <si>
    <t xml:space="preserve">Integrate Infracost into CI/CD pipeline</t>
  </si>
  <si>
    <t xml:space="preserve">Terraform/Helm IaC in use</t>
  </si>
  <si>
    <t xml:space="preserve">Cost diff on all infrastructure PRs</t>
  </si>
  <si>
    <t xml:space="preserve">18–19</t>
  </si>
  <si>
    <t xml:space="preserve">Implement formal chargeback with finance team</t>
  </si>
  <si>
    <t xml:space="preserve">Finance</t>
  </si>
  <si>
    <t xml:space="preserve">Showback 3+ months running</t>
  </si>
  <si>
    <t xml:space="preserve">Monthly chargeback report to finance</t>
  </si>
  <si>
    <t xml:space="preserve">19–20</t>
  </si>
  <si>
    <t xml:space="preserve">Auto-generate JIRA tickets for cost anomalies</t>
  </si>
  <si>
    <t xml:space="preserve">Automation</t>
  </si>
  <si>
    <t xml:space="preserve">Anomaly detection configured</t>
  </si>
  <si>
    <t xml:space="preserve">&lt; 24hr response time on anomalies</t>
  </si>
  <si>
    <t xml:space="preserve">21–22</t>
  </si>
  <si>
    <t xml:space="preserve">Conduct first FinOps quarterly review</t>
  </si>
  <si>
    <t xml:space="preserve">3 months data available</t>
  </si>
  <si>
    <t xml:space="preserve">Leadership review completed; targets set</t>
  </si>
  <si>
    <t xml:space="preserve">22–24</t>
  </si>
  <si>
    <t xml:space="preserve">Define roadmap to FinOps Level 3 maturity</t>
  </si>
  <si>
    <t xml:space="preserve">Strategy</t>
  </si>
  <si>
    <t xml:space="preserve">Q1 review complete</t>
  </si>
  <si>
    <t xml:space="preserve">Approved roadmap for next 6 months</t>
  </si>
  <si>
    <t xml:space="preserve">FinOps Savings Potential Calculator</t>
  </si>
  <si>
    <t xml:space="preserve">Model your potential savings from FinOps initiatives – adjust inputs to calculate ROI</t>
  </si>
  <si>
    <t xml:space="preserve">  ▶  INPUTS  (Blue = editable)</t>
  </si>
  <si>
    <t xml:space="preserve">Current Monthly Cloud/Infra Spend ($)</t>
  </si>
  <si>
    <t xml:space="preserve">Total K8s infrastructure cost per month</t>
  </si>
  <si>
    <t xml:space="preserve">Average CPU Over-Provisioning %</t>
  </si>
  <si>
    <t xml:space="preserve">Typical: 30–50% for most clusters</t>
  </si>
  <si>
    <t xml:space="preserve">Average Memory Over-Provisioning %</t>
  </si>
  <si>
    <t xml:space="preserve">Typical: 25–45% for most clusters</t>
  </si>
  <si>
    <t xml:space="preserve">Spot Instance Eligible Workloads %</t>
  </si>
  <si>
    <t xml:space="preserve">Stateless + batch workloads</t>
  </si>
  <si>
    <t xml:space="preserve">Current Spot Adoption %</t>
  </si>
  <si>
    <t xml:space="preserve">% of eligible workloads already on spot</t>
  </si>
  <si>
    <t xml:space="preserve">On-Demand Spot Discount %</t>
  </si>
  <si>
    <t xml:space="preserve">Typical AWS/GCP/Azure spot discount</t>
  </si>
  <si>
    <t xml:space="preserve">Reserved Capacity % of Baseline</t>
  </si>
  <si>
    <t xml:space="preserve">% of baseline to cover with reservations</t>
  </si>
  <si>
    <t xml:space="preserve">Reserved vs On-Demand Savings %</t>
  </si>
  <si>
    <t xml:space="preserve">Typical 1-yr savings plan savings</t>
  </si>
  <si>
    <t xml:space="preserve">Idle/Orphaned Resource % of Spend</t>
  </si>
  <si>
    <t xml:space="preserve">Unused PVCs, idle LBs, empty namespaces</t>
  </si>
  <si>
    <t xml:space="preserve">Network Optimization Savings ($)</t>
  </si>
  <si>
    <t xml:space="preserve">Estimated monthly egress reduction</t>
  </si>
  <si>
    <t xml:space="preserve">  ◀  CALCULATED SAVINGS BREAKDOWN</t>
  </si>
  <si>
    <t xml:space="preserve">Right-Sizing (CPU + Memory)</t>
  </si>
  <si>
    <t xml:space="preserve">70% of over-provisioned resources recoverable</t>
  </si>
  <si>
    <t xml:space="preserve">Spot Instance Adoption</t>
  </si>
  <si>
    <t xml:space="preserve">Incremental savings from increasing spot usage</t>
  </si>
  <si>
    <t xml:space="preserve">Reserved Capacity Discounts</t>
  </si>
  <si>
    <t xml:space="preserve">Savings vs on-demand for reserved workloads</t>
  </si>
  <si>
    <t xml:space="preserve">Idle Resource Cleanup</t>
  </si>
  <si>
    <t xml:space="preserve">Remove orphaned PVCs, unused LBs, empty NS</t>
  </si>
  <si>
    <t xml:space="preserve">Network Optimization</t>
  </si>
  <si>
    <t xml:space="preserve">Egress, inter-AZ routing improvements</t>
  </si>
  <si>
    <t xml:space="preserve">Autoscaling Efficiency</t>
  </si>
  <si>
    <t xml:space="preserve">Off-hours scale-down, bin-packing</t>
  </si>
  <si>
    <t xml:space="preserve">Storage Tiering</t>
  </si>
  <si>
    <t xml:space="preserve">Downgrade premium storage for non-critical</t>
  </si>
  <si>
    <t xml:space="preserve">TOTAL MONTHLY SAVINGS ($)</t>
  </si>
  <si>
    <t xml:space="preserve">TOTAL ANNUAL SAVINGS ($)</t>
  </si>
  <si>
    <t xml:space="preserve">SAVINGS AS % OF CURRENT SPEND</t>
  </si>
  <si>
    <t xml:space="preserve">FinOps Maturity Self-Assessment</t>
  </si>
  <si>
    <t xml:space="preserve">Score your organization across 8 FinOps domains – 1 (Crawl) to 5 (Soar)</t>
  </si>
  <si>
    <t xml:space="preserve">  Instructions: Score each capability 1–5. Use dropdown validation. Scores auto-color by maturity level.</t>
  </si>
  <si>
    <t xml:space="preserve">Capability</t>
  </si>
  <si>
    <t xml:space="preserve">Current Score (1–5)</t>
  </si>
  <si>
    <t xml:space="preserve">Target Score</t>
  </si>
  <si>
    <t xml:space="preserve">Gap</t>
  </si>
  <si>
    <t xml:space="preserve">Priority Action</t>
  </si>
  <si>
    <t xml:space="preserve">Cluster-level cost dashboards deployed</t>
  </si>
  <si>
    <t xml:space="preserve">Per-namespace cost attribution working</t>
  </si>
  <si>
    <t xml:space="preserve">Per-workload cost attribution working</t>
  </si>
  <si>
    <t xml:space="preserve">All namespaces have required cost labels</t>
  </si>
  <si>
    <t xml:space="preserve">Showback reports sent to team leads</t>
  </si>
  <si>
    <t xml:space="preserve">Chargeback integrated with finance</t>
  </si>
  <si>
    <t xml:space="preserve">VPA recommendations generated</t>
  </si>
  <si>
    <t xml:space="preserve">Right-sizing changes applied in prod</t>
  </si>
  <si>
    <t xml:space="preserve">Goldilocks dashboard available to developers</t>
  </si>
  <si>
    <t xml:space="preserve">Cluster Autoscaler enabled</t>
  </si>
  <si>
    <t xml:space="preserve">HPA configured on all eligible workloads</t>
  </si>
  <si>
    <t xml:space="preserve">KEDA scale-to-zero for batch/async</t>
  </si>
  <si>
    <t xml:space="preserve">Karpenter/Spot nodes for cloud workloads</t>
  </si>
  <si>
    <t xml:space="preserve">OPA policies enforce resource limits</t>
  </si>
  <si>
    <t xml:space="preserve">OPA policies enforce required labels</t>
  </si>
  <si>
    <t xml:space="preserve">ResourceQuota on all namespaces</t>
  </si>
  <si>
    <t xml:space="preserve">LimitRange defaults on all namespaces</t>
  </si>
  <si>
    <t xml:space="preserve">Cost Optimization</t>
  </si>
  <si>
    <t xml:space="preserve">Reserved/committed capacity purchased</t>
  </si>
  <si>
    <t xml:space="preserve">Spot instances in use for eligible workloads</t>
  </si>
  <si>
    <t xml:space="preserve">Orphaned resources regularly cleaned up</t>
  </si>
  <si>
    <t xml:space="preserve">FinOps Process</t>
  </si>
  <si>
    <t xml:space="preserve">Monthly FinOps review with leadership</t>
  </si>
  <si>
    <t xml:space="preserve">Teams own and track their cost allocation</t>
  </si>
  <si>
    <t xml:space="preserve">Cost gates in CI/CD pipeline (Infracost)</t>
  </si>
  <si>
    <t xml:space="preserve">Engineering teams aware of their costs</t>
  </si>
  <si>
    <t xml:space="preserve">FinOps practitioner role defined</t>
  </si>
  <si>
    <t xml:space="preserve">FinOps KPIs in team performance metrics</t>
  </si>
  <si>
    <t xml:space="preserve">  MATURITY SUMMARY</t>
  </si>
  <si>
    <t xml:space="preserve">Average Current Score</t>
  </si>
  <si>
    <t xml:space="preserve">Average Target Score</t>
  </si>
  <si>
    <t xml:space="preserve">Average Gap</t>
  </si>
  <si>
    <t xml:space="preserve"># Capabilities at Level 1 (Crawl)</t>
  </si>
  <si>
    <t xml:space="preserve"># Capabilities at Level 3+ (Run+)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</si>
</sst>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%"/>
    <numFmt numFmtId="166" formatCode="General"/>
    <numFmt numFmtId="167" formatCode="0.00%"/>
    <numFmt numFmtId="168" formatCode="#,##0"/>
    <numFmt numFmtId="169" formatCode="#,##0;\(#,##0\);\-"/>
    <numFmt numFmtId="170" formatCode="0.0%;\(0.0%\);\-"/>
    <numFmt numFmtId="171" formatCode="0.0%"/>
    <numFmt numFmtId="172" formatCode="\$#,##0.0000"/>
    <numFmt numFmtId="173" formatCode="0.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1B7A3E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1B7A3E"/>
      <name val="Arial"/>
      <family val="0"/>
      <charset val="1"/>
    </font>
    <font>
      <b val="true"/>
      <sz val="9"/>
      <color rgb="FF1B7A3E"/>
      <name val="Arial"/>
      <family val="0"/>
      <charset val="1"/>
    </font>
    <font>
      <b val="true"/>
      <sz val="9"/>
      <color rgb="FF2E75B6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sz val="9"/>
      <color rgb="FFC55A11"/>
      <name val="Arial"/>
      <family val="0"/>
      <charset val="1"/>
    </font>
    <font>
      <sz val="9"/>
      <color rgb="FF2E75B6"/>
      <name val="Arial"/>
      <family val="0"/>
      <charset val="1"/>
    </font>
    <font>
      <b val="true"/>
      <sz val="9"/>
      <color rgb="FF7B5E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1B7A3E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7B5E00"/>
      <name val="Arial"/>
      <family val="0"/>
      <charset val="1"/>
    </font>
    <font>
      <b val="true"/>
      <sz val="11"/>
      <color rgb="FF2E75B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EEAF1"/>
        <bgColor rgb="FFD6E4F7"/>
      </patternFill>
    </fill>
    <fill>
      <patternFill patternType="solid">
        <fgColor rgb="FFE2EFDA"/>
        <bgColor rgb="FFDEEAF1"/>
      </patternFill>
    </fill>
    <fill>
      <patternFill patternType="solid">
        <fgColor rgb="FFFFE0E0"/>
        <bgColor rgb="FFFCE4D6"/>
      </patternFill>
    </fill>
    <fill>
      <patternFill patternType="solid">
        <fgColor rgb="FFFCE4D6"/>
        <bgColor rgb="FFFFE0E0"/>
      </patternFill>
    </fill>
    <fill>
      <patternFill patternType="solid">
        <fgColor rgb="FFF2F2F2"/>
        <bgColor rgb="FFE2EFDA"/>
      </patternFill>
    </fill>
    <fill>
      <patternFill patternType="solid">
        <fgColor rgb="FF0097A7"/>
        <bgColor rgb="FF008080"/>
      </patternFill>
    </fill>
    <fill>
      <patternFill patternType="solid">
        <fgColor rgb="FFD6E4F7"/>
        <bgColor rgb="FFDEEAF1"/>
      </patternFill>
    </fill>
    <fill>
      <patternFill patternType="solid">
        <fgColor rgb="FF1B7A3E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2E75B6"/>
      </left>
      <right style="medium">
        <color rgb="FF2E75B6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EEA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B7A3E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7B5E00"/>
          <bgColor rgb="FF000000"/>
        </patternFill>
      </fill>
    </dxf>
    <dxf>
      <fill>
        <patternFill patternType="solid">
          <fgColor rgb="FF0097A7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B7A3E"/>
      <rgbColor rgb="FF000080"/>
      <rgbColor rgb="FF7B5E00"/>
      <rgbColor rgb="FF800080"/>
      <rgbColor rgb="FF0097A7"/>
      <rgbColor rgb="FFCCCCCC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0E0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38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9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9.5" hidden="false" customHeight="true" outlineLevel="0" collapsed="false">
      <c r="A6" s="6" t="s">
        <v>7</v>
      </c>
      <c r="B6" s="7" t="s">
        <v>8</v>
      </c>
      <c r="C6" s="8" t="s">
        <v>9</v>
      </c>
      <c r="D6" s="9" t="s">
        <v>10</v>
      </c>
    </row>
    <row r="7" customFormat="false" ht="19.5" hidden="false" customHeight="true" outlineLevel="0" collapsed="false">
      <c r="A7" s="10" t="s">
        <v>11</v>
      </c>
      <c r="B7" s="11" t="s">
        <v>12</v>
      </c>
      <c r="C7" s="8" t="s">
        <v>9</v>
      </c>
      <c r="D7" s="12" t="s">
        <v>13</v>
      </c>
    </row>
    <row r="8" customFormat="false" ht="19.5" hidden="false" customHeight="true" outlineLevel="0" collapsed="false">
      <c r="A8" s="6" t="s">
        <v>14</v>
      </c>
      <c r="B8" s="7" t="s">
        <v>15</v>
      </c>
      <c r="C8" s="13" t="s">
        <v>16</v>
      </c>
      <c r="D8" s="9" t="s">
        <v>17</v>
      </c>
    </row>
    <row r="9" customFormat="false" ht="19.5" hidden="false" customHeight="true" outlineLevel="0" collapsed="false">
      <c r="A9" s="10" t="s">
        <v>18</v>
      </c>
      <c r="B9" s="11" t="s">
        <v>19</v>
      </c>
      <c r="C9" s="14" t="s">
        <v>20</v>
      </c>
      <c r="D9" s="12" t="s">
        <v>21</v>
      </c>
    </row>
    <row r="10" customFormat="false" ht="19.5" hidden="false" customHeight="true" outlineLevel="0" collapsed="false">
      <c r="A10" s="6" t="s">
        <v>22</v>
      </c>
      <c r="B10" s="7" t="s">
        <v>19</v>
      </c>
      <c r="C10" s="14" t="s">
        <v>20</v>
      </c>
      <c r="D10" s="9" t="s">
        <v>23</v>
      </c>
    </row>
    <row r="11" customFormat="false" ht="19.5" hidden="false" customHeight="true" outlineLevel="0" collapsed="false">
      <c r="A11" s="10" t="s">
        <v>24</v>
      </c>
      <c r="B11" s="11" t="s">
        <v>25</v>
      </c>
      <c r="C11" s="8" t="s">
        <v>9</v>
      </c>
      <c r="D11" s="12" t="s">
        <v>26</v>
      </c>
    </row>
    <row r="12" customFormat="false" ht="19.5" hidden="false" customHeight="true" outlineLevel="0" collapsed="false">
      <c r="A12" s="6" t="s">
        <v>27</v>
      </c>
      <c r="B12" s="7" t="s">
        <v>28</v>
      </c>
      <c r="C12" s="13" t="s">
        <v>16</v>
      </c>
      <c r="D12" s="9" t="s">
        <v>29</v>
      </c>
    </row>
    <row r="13" customFormat="false" ht="19.5" hidden="false" customHeight="true" outlineLevel="0" collapsed="false">
      <c r="A13" s="10" t="s">
        <v>30</v>
      </c>
      <c r="B13" s="11" t="s">
        <v>31</v>
      </c>
      <c r="C13" s="13" t="s">
        <v>16</v>
      </c>
      <c r="D13" s="12" t="s">
        <v>32</v>
      </c>
    </row>
    <row r="14" customFormat="false" ht="19.5" hidden="false" customHeight="true" outlineLevel="0" collapsed="false">
      <c r="A14" s="6" t="s">
        <v>33</v>
      </c>
      <c r="B14" s="7" t="s">
        <v>34</v>
      </c>
      <c r="C14" s="8" t="s">
        <v>9</v>
      </c>
      <c r="D14" s="9" t="s">
        <v>35</v>
      </c>
    </row>
    <row r="15" customFormat="false" ht="19.5" hidden="false" customHeight="true" outlineLevel="0" collapsed="false">
      <c r="A15" s="10" t="s">
        <v>36</v>
      </c>
      <c r="B15" s="11" t="s">
        <v>37</v>
      </c>
      <c r="C15" s="14" t="s">
        <v>20</v>
      </c>
      <c r="D15" s="12" t="s">
        <v>38</v>
      </c>
    </row>
    <row r="16" customFormat="false" ht="19.5" hidden="false" customHeight="true" outlineLevel="0" collapsed="false">
      <c r="A16" s="6" t="s">
        <v>39</v>
      </c>
      <c r="B16" s="7" t="s">
        <v>37</v>
      </c>
      <c r="C16" s="14" t="s">
        <v>20</v>
      </c>
      <c r="D16" s="9" t="s">
        <v>40</v>
      </c>
    </row>
    <row r="18" customFormat="false" ht="15" hidden="false" customHeight="true" outlineLevel="0" collapsed="false">
      <c r="A18" s="4" t="s">
        <v>41</v>
      </c>
      <c r="B18" s="4"/>
      <c r="C18" s="4"/>
      <c r="D18" s="4"/>
      <c r="E18" s="4"/>
      <c r="F18" s="4"/>
      <c r="G18" s="4"/>
      <c r="H18" s="4"/>
      <c r="I18" s="4"/>
      <c r="J18" s="4"/>
    </row>
    <row r="19" customFormat="false" ht="19.5" hidden="false" customHeight="true" outlineLevel="0" collapsed="false">
      <c r="A19" s="5" t="s">
        <v>42</v>
      </c>
      <c r="B19" s="5" t="s">
        <v>43</v>
      </c>
      <c r="C19" s="5" t="s">
        <v>44</v>
      </c>
      <c r="D19" s="5" t="s">
        <v>45</v>
      </c>
      <c r="E19" s="5" t="s">
        <v>46</v>
      </c>
      <c r="F19" s="5" t="s">
        <v>47</v>
      </c>
    </row>
    <row r="20" customFormat="false" ht="19.5" hidden="false" customHeight="true" outlineLevel="0" collapsed="false">
      <c r="A20" s="6" t="s">
        <v>48</v>
      </c>
      <c r="B20" s="15" t="s">
        <v>49</v>
      </c>
      <c r="C20" s="16" t="s">
        <v>50</v>
      </c>
      <c r="D20" s="9" t="s">
        <v>51</v>
      </c>
      <c r="E20" s="9" t="s">
        <v>52</v>
      </c>
      <c r="F20" s="9" t="s">
        <v>53</v>
      </c>
    </row>
    <row r="21" customFormat="false" ht="19.5" hidden="false" customHeight="true" outlineLevel="0" collapsed="false">
      <c r="A21" s="10" t="s">
        <v>54</v>
      </c>
      <c r="B21" s="17" t="s">
        <v>55</v>
      </c>
      <c r="C21" s="15" t="s">
        <v>49</v>
      </c>
      <c r="D21" s="12" t="s">
        <v>56</v>
      </c>
      <c r="E21" s="12" t="s">
        <v>57</v>
      </c>
      <c r="F21" s="12" t="s">
        <v>58</v>
      </c>
    </row>
    <row r="22" customFormat="false" ht="19.5" hidden="false" customHeight="true" outlineLevel="0" collapsed="false">
      <c r="A22" s="6" t="s">
        <v>59</v>
      </c>
      <c r="B22" s="15" t="s">
        <v>49</v>
      </c>
      <c r="C22" s="16" t="s">
        <v>50</v>
      </c>
      <c r="D22" s="9" t="s">
        <v>51</v>
      </c>
      <c r="E22" s="9" t="s">
        <v>52</v>
      </c>
      <c r="F22" s="9" t="s">
        <v>60</v>
      </c>
    </row>
    <row r="23" customFormat="false" ht="19.5" hidden="false" customHeight="true" outlineLevel="0" collapsed="false">
      <c r="A23" s="10" t="s">
        <v>61</v>
      </c>
      <c r="B23" s="15" t="s">
        <v>49</v>
      </c>
      <c r="C23" s="12" t="s">
        <v>62</v>
      </c>
      <c r="D23" s="12" t="s">
        <v>63</v>
      </c>
      <c r="E23" s="12" t="s">
        <v>52</v>
      </c>
      <c r="F23" s="12" t="s">
        <v>64</v>
      </c>
    </row>
    <row r="24" customFormat="false" ht="19.5" hidden="false" customHeight="true" outlineLevel="0" collapsed="false">
      <c r="A24" s="6" t="s">
        <v>65</v>
      </c>
      <c r="B24" s="17" t="s">
        <v>55</v>
      </c>
      <c r="C24" s="16" t="s">
        <v>50</v>
      </c>
      <c r="D24" s="9" t="s">
        <v>66</v>
      </c>
      <c r="E24" s="9" t="s">
        <v>67</v>
      </c>
      <c r="F24" s="9" t="s">
        <v>68</v>
      </c>
    </row>
    <row r="25" customFormat="false" ht="19.5" hidden="false" customHeight="true" outlineLevel="0" collapsed="false">
      <c r="A25" s="10" t="s">
        <v>69</v>
      </c>
      <c r="B25" s="17" t="s">
        <v>55</v>
      </c>
      <c r="C25" s="16" t="s">
        <v>50</v>
      </c>
      <c r="D25" s="12" t="s">
        <v>70</v>
      </c>
      <c r="E25" s="12" t="s">
        <v>57</v>
      </c>
      <c r="F25" s="12" t="s">
        <v>71</v>
      </c>
    </row>
  </sheetData>
  <mergeCells count="4">
    <mergeCell ref="A1:J1"/>
    <mergeCell ref="A2:J2"/>
    <mergeCell ref="A4:J4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40"/>
  </cols>
  <sheetData>
    <row r="1" customFormat="false" ht="36" hidden="false" customHeight="true" outlineLevel="0" collapsed="false">
      <c r="A1" s="2" t="s">
        <v>72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18" t="s">
        <v>73</v>
      </c>
      <c r="B3" s="18" t="s">
        <v>74</v>
      </c>
      <c r="C3" s="18" t="s">
        <v>75</v>
      </c>
      <c r="D3" s="18" t="s">
        <v>76</v>
      </c>
    </row>
    <row r="4" customFormat="false" ht="51.75" hidden="false" customHeight="true" outlineLevel="0" collapsed="false">
      <c r="A4" s="19" t="s">
        <v>77</v>
      </c>
      <c r="B4" s="20" t="s">
        <v>78</v>
      </c>
      <c r="C4" s="20" t="s">
        <v>79</v>
      </c>
      <c r="D4" s="20" t="s">
        <v>80</v>
      </c>
    </row>
    <row r="5" customFormat="false" ht="51.75" hidden="false" customHeight="true" outlineLevel="0" collapsed="false">
      <c r="A5" s="21" t="s">
        <v>48</v>
      </c>
      <c r="B5" s="22" t="s">
        <v>81</v>
      </c>
      <c r="C5" s="22" t="s">
        <v>82</v>
      </c>
      <c r="D5" s="22" t="s">
        <v>83</v>
      </c>
    </row>
    <row r="6" customFormat="false" ht="51.75" hidden="false" customHeight="true" outlineLevel="0" collapsed="false">
      <c r="A6" s="19" t="s">
        <v>59</v>
      </c>
      <c r="B6" s="20" t="s">
        <v>84</v>
      </c>
      <c r="C6" s="20" t="s">
        <v>85</v>
      </c>
      <c r="D6" s="20" t="s">
        <v>86</v>
      </c>
    </row>
    <row r="7" customFormat="false" ht="51.75" hidden="false" customHeight="true" outlineLevel="0" collapsed="false">
      <c r="A7" s="21" t="s">
        <v>61</v>
      </c>
      <c r="B7" s="22" t="s">
        <v>87</v>
      </c>
      <c r="C7" s="22" t="s">
        <v>88</v>
      </c>
      <c r="D7" s="22" t="s">
        <v>89</v>
      </c>
    </row>
    <row r="8" customFormat="false" ht="51.75" hidden="false" customHeight="true" outlineLevel="0" collapsed="false">
      <c r="A8" s="19" t="s">
        <v>90</v>
      </c>
      <c r="B8" s="20" t="s">
        <v>91</v>
      </c>
      <c r="C8" s="20" t="s">
        <v>92</v>
      </c>
      <c r="D8" s="20" t="s">
        <v>93</v>
      </c>
    </row>
    <row r="9" customFormat="false" ht="51.75" hidden="false" customHeight="true" outlineLevel="0" collapsed="false">
      <c r="A9" s="21" t="s">
        <v>94</v>
      </c>
      <c r="B9" s="22" t="s">
        <v>95</v>
      </c>
      <c r="C9" s="22" t="s">
        <v>96</v>
      </c>
      <c r="D9" s="22" t="s">
        <v>97</v>
      </c>
    </row>
    <row r="10" customFormat="false" ht="51.75" hidden="false" customHeight="true" outlineLevel="0" collapsed="false">
      <c r="A10" s="19" t="s">
        <v>98</v>
      </c>
      <c r="B10" s="20" t="s">
        <v>99</v>
      </c>
      <c r="C10" s="20" t="s">
        <v>100</v>
      </c>
      <c r="D10" s="20" t="s">
        <v>101</v>
      </c>
    </row>
    <row r="11" customFormat="false" ht="51.75" hidden="false" customHeight="true" outlineLevel="0" collapsed="false">
      <c r="A11" s="21" t="s">
        <v>102</v>
      </c>
      <c r="B11" s="22" t="s">
        <v>103</v>
      </c>
      <c r="C11" s="22" t="s">
        <v>104</v>
      </c>
      <c r="D11" s="22" t="s">
        <v>105</v>
      </c>
    </row>
    <row r="12" customFormat="false" ht="51.75" hidden="false" customHeight="true" outlineLevel="0" collapsed="false">
      <c r="A12" s="19" t="s">
        <v>106</v>
      </c>
      <c r="B12" s="20" t="s">
        <v>107</v>
      </c>
      <c r="C12" s="20" t="s">
        <v>108</v>
      </c>
      <c r="D12" s="20" t="s">
        <v>109</v>
      </c>
    </row>
    <row r="13" customFormat="false" ht="51.75" hidden="false" customHeight="true" outlineLevel="0" collapsed="false">
      <c r="A13" s="21" t="s">
        <v>110</v>
      </c>
      <c r="B13" s="22" t="s">
        <v>111</v>
      </c>
      <c r="C13" s="22" t="s">
        <v>112</v>
      </c>
      <c r="D13" s="22" t="s">
        <v>113</v>
      </c>
    </row>
    <row r="14" customFormat="false" ht="51.75" hidden="false" customHeight="true" outlineLevel="0" collapsed="false">
      <c r="A14" s="19" t="s">
        <v>114</v>
      </c>
      <c r="B14" s="20" t="s">
        <v>115</v>
      </c>
      <c r="C14" s="20" t="s">
        <v>116</v>
      </c>
      <c r="D14" s="20" t="s">
        <v>117</v>
      </c>
    </row>
    <row r="15" customFormat="false" ht="51.75" hidden="false" customHeight="true" outlineLevel="0" collapsed="false">
      <c r="A15" s="21" t="s">
        <v>118</v>
      </c>
      <c r="B15" s="22" t="s">
        <v>119</v>
      </c>
      <c r="C15" s="22" t="s">
        <v>120</v>
      </c>
      <c r="D15" s="22" t="s">
        <v>121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4" min="3" style="1" width="11"/>
    <col collapsed="false" customWidth="true" hidden="false" outlineLevel="0" max="6" min="5" style="1" width="14"/>
    <col collapsed="false" customWidth="true" hidden="false" outlineLevel="0" max="7" min="7" style="1" width="10"/>
    <col collapsed="false" customWidth="true" hidden="false" outlineLevel="0" max="9" min="8" style="1" width="14"/>
    <col collapsed="false" customWidth="true" hidden="false" outlineLevel="0" max="11" min="10" style="1" width="20"/>
    <col collapsed="false" customWidth="true" hidden="false" outlineLevel="0" max="12" min="12" style="1" width="22"/>
    <col collapsed="false" customWidth="true" hidden="false" outlineLevel="0" max="13" min="13" style="1" width="12"/>
    <col collapsed="false" customWidth="true" hidden="false" outlineLevel="0" max="14" min="14" style="1" width="16"/>
  </cols>
  <sheetData>
    <row r="1" customFormat="false" ht="36" hidden="false" customHeight="true" outlineLevel="0" collapsed="false">
      <c r="A1" s="2" t="s">
        <v>122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123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0" hidden="false" customHeight="true" outlineLevel="0" collapsed="false">
      <c r="A4" s="23" t="s">
        <v>124</v>
      </c>
      <c r="B4" s="23" t="s">
        <v>125</v>
      </c>
      <c r="C4" s="23" t="s">
        <v>126</v>
      </c>
      <c r="D4" s="23" t="s">
        <v>127</v>
      </c>
      <c r="E4" s="23" t="s">
        <v>128</v>
      </c>
      <c r="F4" s="23" t="s">
        <v>129</v>
      </c>
      <c r="G4" s="23" t="s">
        <v>130</v>
      </c>
      <c r="H4" s="23" t="s">
        <v>131</v>
      </c>
      <c r="I4" s="23" t="s">
        <v>132</v>
      </c>
      <c r="J4" s="23" t="s">
        <v>133</v>
      </c>
      <c r="K4" s="23" t="s">
        <v>134</v>
      </c>
      <c r="L4" s="23" t="s">
        <v>135</v>
      </c>
      <c r="M4" s="23" t="s">
        <v>136</v>
      </c>
      <c r="N4" s="23" t="s">
        <v>46</v>
      </c>
    </row>
    <row r="5" customFormat="false" ht="18" hidden="false" customHeight="true" outlineLevel="0" collapsed="false">
      <c r="A5" s="24" t="s">
        <v>137</v>
      </c>
      <c r="B5" s="24" t="s">
        <v>138</v>
      </c>
      <c r="C5" s="25" t="s">
        <v>139</v>
      </c>
      <c r="D5" s="25" t="s">
        <v>140</v>
      </c>
      <c r="E5" s="25" t="n">
        <v>256</v>
      </c>
      <c r="F5" s="25" t="n">
        <v>512</v>
      </c>
      <c r="G5" s="25" t="n">
        <v>3</v>
      </c>
      <c r="H5" s="26" t="n">
        <v>0.18</v>
      </c>
      <c r="I5" s="26" t="n">
        <v>0.42</v>
      </c>
      <c r="J5" s="27" t="str">
        <f aca="false">IF(H5&lt;0.3,"⚠️ YES – Reduce","✅ OK")</f>
        <v>⚠️ YES – Reduce</v>
      </c>
      <c r="K5" s="27" t="str">
        <f aca="false">IF(I5&lt;0.5,"⚠️ YES – Reduce","✅ OK")</f>
        <v>⚠️ YES – Reduce</v>
      </c>
      <c r="L5" s="28" t="s">
        <v>141</v>
      </c>
      <c r="M5" s="28" t="s">
        <v>142</v>
      </c>
      <c r="N5" s="25" t="s">
        <v>143</v>
      </c>
    </row>
    <row r="6" customFormat="false" ht="18" hidden="false" customHeight="true" outlineLevel="0" collapsed="false">
      <c r="A6" s="29" t="s">
        <v>137</v>
      </c>
      <c r="B6" s="29" t="s">
        <v>144</v>
      </c>
      <c r="C6" s="30" t="s">
        <v>140</v>
      </c>
      <c r="D6" s="30" t="s">
        <v>145</v>
      </c>
      <c r="E6" s="30" t="n">
        <v>512</v>
      </c>
      <c r="F6" s="30" t="n">
        <v>1024</v>
      </c>
      <c r="G6" s="30" t="n">
        <v>5</v>
      </c>
      <c r="H6" s="31" t="n">
        <v>0.22</v>
      </c>
      <c r="I6" s="31" t="n">
        <v>0.38</v>
      </c>
      <c r="J6" s="32" t="str">
        <f aca="false">IF(H6&lt;0.3,"⚠️ YES – Reduce","✅ OK")</f>
        <v>⚠️ YES – Reduce</v>
      </c>
      <c r="K6" s="32" t="str">
        <f aca="false">IF(I6&lt;0.5,"⚠️ YES – Reduce","✅ OK")</f>
        <v>⚠️ YES – Reduce</v>
      </c>
      <c r="L6" s="28" t="s">
        <v>141</v>
      </c>
      <c r="M6" s="28" t="s">
        <v>142</v>
      </c>
      <c r="N6" s="30" t="s">
        <v>143</v>
      </c>
    </row>
    <row r="7" customFormat="false" ht="18" hidden="false" customHeight="true" outlineLevel="0" collapsed="false">
      <c r="A7" s="24" t="s">
        <v>137</v>
      </c>
      <c r="B7" s="24" t="s">
        <v>146</v>
      </c>
      <c r="C7" s="25" t="s">
        <v>147</v>
      </c>
      <c r="D7" s="25" t="s">
        <v>139</v>
      </c>
      <c r="E7" s="25" t="n">
        <v>128</v>
      </c>
      <c r="F7" s="25" t="n">
        <v>256</v>
      </c>
      <c r="G7" s="25" t="n">
        <v>2</v>
      </c>
      <c r="H7" s="26" t="n">
        <v>0.05</v>
      </c>
      <c r="I7" s="26" t="n">
        <v>0.12</v>
      </c>
      <c r="J7" s="27" t="str">
        <f aca="false">IF(H7&lt;0.3,"⚠️ YES – Reduce","✅ OK")</f>
        <v>⚠️ YES – Reduce</v>
      </c>
      <c r="K7" s="27" t="str">
        <f aca="false">IF(I7&lt;0.5,"⚠️ YES – Reduce","✅ OK")</f>
        <v>⚠️ YES – Reduce</v>
      </c>
      <c r="L7" s="28" t="s">
        <v>141</v>
      </c>
      <c r="M7" s="28" t="s">
        <v>142</v>
      </c>
      <c r="N7" s="25" t="s">
        <v>143</v>
      </c>
    </row>
    <row r="8" customFormat="false" ht="18" hidden="false" customHeight="true" outlineLevel="0" collapsed="false">
      <c r="A8" s="29" t="s">
        <v>148</v>
      </c>
      <c r="B8" s="29" t="s">
        <v>149</v>
      </c>
      <c r="C8" s="30" t="s">
        <v>139</v>
      </c>
      <c r="D8" s="30" t="s">
        <v>140</v>
      </c>
      <c r="E8" s="30" t="n">
        <v>512</v>
      </c>
      <c r="F8" s="30" t="n">
        <v>1024</v>
      </c>
      <c r="G8" s="30" t="n">
        <v>4</v>
      </c>
      <c r="H8" s="31" t="n">
        <v>0.31</v>
      </c>
      <c r="I8" s="31" t="n">
        <v>0.55</v>
      </c>
      <c r="J8" s="33" t="str">
        <f aca="false">IF(H8&lt;0.3,"⚠️ YES – Reduce","✅ OK")</f>
        <v>✅ OK</v>
      </c>
      <c r="K8" s="33" t="str">
        <f aca="false">IF(I8&lt;0.5,"⚠️ YES – Reduce","✅ OK")</f>
        <v>✅ OK</v>
      </c>
      <c r="L8" s="34" t="s">
        <v>150</v>
      </c>
      <c r="M8" s="35" t="s">
        <v>151</v>
      </c>
      <c r="N8" s="30" t="s">
        <v>152</v>
      </c>
    </row>
    <row r="9" customFormat="false" ht="18" hidden="false" customHeight="true" outlineLevel="0" collapsed="false">
      <c r="A9" s="24" t="s">
        <v>148</v>
      </c>
      <c r="B9" s="24" t="s">
        <v>153</v>
      </c>
      <c r="C9" s="25" t="s">
        <v>145</v>
      </c>
      <c r="D9" s="25" t="s">
        <v>154</v>
      </c>
      <c r="E9" s="25" t="n">
        <v>2048</v>
      </c>
      <c r="F9" s="25" t="n">
        <v>4096</v>
      </c>
      <c r="G9" s="25" t="n">
        <v>3</v>
      </c>
      <c r="H9" s="26" t="n">
        <v>0.68</v>
      </c>
      <c r="I9" s="26" t="n">
        <v>0.72</v>
      </c>
      <c r="J9" s="36" t="str">
        <f aca="false">IF(H9&lt;0.3,"⚠️ YES – Reduce","✅ OK")</f>
        <v>✅ OK</v>
      </c>
      <c r="K9" s="36" t="str">
        <f aca="false">IF(I9&lt;0.5,"⚠️ YES – Reduce","✅ OK")</f>
        <v>✅ OK</v>
      </c>
      <c r="L9" s="34" t="s">
        <v>150</v>
      </c>
      <c r="M9" s="34" t="s">
        <v>155</v>
      </c>
      <c r="N9" s="25" t="s">
        <v>152</v>
      </c>
    </row>
    <row r="10" customFormat="false" ht="18" hidden="false" customHeight="true" outlineLevel="0" collapsed="false">
      <c r="A10" s="29" t="s">
        <v>148</v>
      </c>
      <c r="B10" s="29" t="s">
        <v>156</v>
      </c>
      <c r="C10" s="30" t="s">
        <v>157</v>
      </c>
      <c r="D10" s="30" t="s">
        <v>139</v>
      </c>
      <c r="E10" s="30" t="n">
        <v>256</v>
      </c>
      <c r="F10" s="30" t="n">
        <v>512</v>
      </c>
      <c r="G10" s="30" t="n">
        <v>2</v>
      </c>
      <c r="H10" s="31" t="n">
        <v>0.08</v>
      </c>
      <c r="I10" s="31" t="n">
        <v>0.19</v>
      </c>
      <c r="J10" s="32" t="str">
        <f aca="false">IF(H10&lt;0.3,"⚠️ YES – Reduce","✅ OK")</f>
        <v>⚠️ YES – Reduce</v>
      </c>
      <c r="K10" s="32" t="str">
        <f aca="false">IF(I10&lt;0.5,"⚠️ YES – Reduce","✅ OK")</f>
        <v>⚠️ YES – Reduce</v>
      </c>
      <c r="L10" s="28" t="s">
        <v>141</v>
      </c>
      <c r="M10" s="28" t="s">
        <v>142</v>
      </c>
      <c r="N10" s="30" t="s">
        <v>152</v>
      </c>
    </row>
    <row r="11" customFormat="false" ht="18" hidden="false" customHeight="true" outlineLevel="0" collapsed="false">
      <c r="A11" s="24" t="s">
        <v>158</v>
      </c>
      <c r="B11" s="24" t="s">
        <v>159</v>
      </c>
      <c r="C11" s="25" t="s">
        <v>154</v>
      </c>
      <c r="D11" s="25" t="s">
        <v>160</v>
      </c>
      <c r="E11" s="25" t="n">
        <v>8192</v>
      </c>
      <c r="F11" s="25" t="n">
        <v>16384</v>
      </c>
      <c r="G11" s="25" t="n">
        <v>1</v>
      </c>
      <c r="H11" s="26" t="n">
        <v>0.71</v>
      </c>
      <c r="I11" s="26" t="n">
        <v>0.81</v>
      </c>
      <c r="J11" s="36" t="str">
        <f aca="false">IF(H11&lt;0.3,"⚠️ YES – Reduce","✅ OK")</f>
        <v>✅ OK</v>
      </c>
      <c r="K11" s="36" t="str">
        <f aca="false">IF(I11&lt;0.5,"⚠️ YES – Reduce","✅ OK")</f>
        <v>✅ OK</v>
      </c>
      <c r="L11" s="34" t="s">
        <v>150</v>
      </c>
      <c r="M11" s="34" t="s">
        <v>155</v>
      </c>
      <c r="N11" s="25" t="s">
        <v>161</v>
      </c>
    </row>
    <row r="12" customFormat="false" ht="18" hidden="false" customHeight="true" outlineLevel="0" collapsed="false">
      <c r="A12" s="29" t="s">
        <v>158</v>
      </c>
      <c r="B12" s="29" t="s">
        <v>162</v>
      </c>
      <c r="C12" s="30" t="s">
        <v>140</v>
      </c>
      <c r="D12" s="30" t="s">
        <v>145</v>
      </c>
      <c r="E12" s="30" t="n">
        <v>1024</v>
      </c>
      <c r="F12" s="30" t="n">
        <v>2048</v>
      </c>
      <c r="G12" s="30" t="n">
        <v>6</v>
      </c>
      <c r="H12" s="31" t="n">
        <v>0.44</v>
      </c>
      <c r="I12" s="31" t="n">
        <v>0.62</v>
      </c>
      <c r="J12" s="33" t="str">
        <f aca="false">IF(H12&lt;0.3,"⚠️ YES – Reduce","✅ OK")</f>
        <v>✅ OK</v>
      </c>
      <c r="K12" s="33" t="str">
        <f aca="false">IF(I12&lt;0.5,"⚠️ YES – Reduce","✅ OK")</f>
        <v>✅ OK</v>
      </c>
      <c r="L12" s="34" t="s">
        <v>150</v>
      </c>
      <c r="M12" s="35" t="s">
        <v>151</v>
      </c>
      <c r="N12" s="30" t="s">
        <v>161</v>
      </c>
    </row>
    <row r="13" customFormat="false" ht="18" hidden="false" customHeight="true" outlineLevel="0" collapsed="false">
      <c r="A13" s="24" t="s">
        <v>158</v>
      </c>
      <c r="B13" s="24" t="s">
        <v>163</v>
      </c>
      <c r="C13" s="25" t="s">
        <v>145</v>
      </c>
      <c r="D13" s="25" t="s">
        <v>154</v>
      </c>
      <c r="E13" s="25" t="n">
        <v>4096</v>
      </c>
      <c r="F13" s="25" t="n">
        <v>8192</v>
      </c>
      <c r="G13" s="25" t="n">
        <v>1</v>
      </c>
      <c r="H13" s="26" t="n">
        <v>0.12</v>
      </c>
      <c r="I13" s="26" t="n">
        <v>0.15</v>
      </c>
      <c r="J13" s="27" t="str">
        <f aca="false">IF(H13&lt;0.3,"⚠️ YES – Reduce","✅ OK")</f>
        <v>⚠️ YES – Reduce</v>
      </c>
      <c r="K13" s="27" t="str">
        <f aca="false">IF(I13&lt;0.5,"⚠️ YES – Reduce","✅ OK")</f>
        <v>⚠️ YES – Reduce</v>
      </c>
      <c r="L13" s="28" t="s">
        <v>141</v>
      </c>
      <c r="M13" s="28" t="s">
        <v>142</v>
      </c>
      <c r="N13" s="25" t="s">
        <v>161</v>
      </c>
    </row>
    <row r="14" customFormat="false" ht="18" hidden="false" customHeight="true" outlineLevel="0" collapsed="false">
      <c r="A14" s="29" t="s">
        <v>164</v>
      </c>
      <c r="B14" s="29" t="s">
        <v>165</v>
      </c>
      <c r="C14" s="30" t="s">
        <v>154</v>
      </c>
      <c r="D14" s="30" t="s">
        <v>160</v>
      </c>
      <c r="E14" s="30" t="n">
        <v>8192</v>
      </c>
      <c r="F14" s="30" t="n">
        <v>16384</v>
      </c>
      <c r="G14" s="30" t="n">
        <v>2</v>
      </c>
      <c r="H14" s="31" t="n">
        <v>0.29</v>
      </c>
      <c r="I14" s="31" t="n">
        <v>0.34</v>
      </c>
      <c r="J14" s="32" t="str">
        <f aca="false">IF(H14&lt;0.3,"⚠️ YES – Reduce","✅ OK")</f>
        <v>⚠️ YES – Reduce</v>
      </c>
      <c r="K14" s="32" t="str">
        <f aca="false">IF(I14&lt;0.5,"⚠️ YES – Reduce","✅ OK")</f>
        <v>⚠️ YES – Reduce</v>
      </c>
      <c r="L14" s="28" t="s">
        <v>141</v>
      </c>
      <c r="M14" s="28" t="s">
        <v>142</v>
      </c>
      <c r="N14" s="30" t="s">
        <v>166</v>
      </c>
    </row>
    <row r="15" customFormat="false" ht="18" hidden="false" customHeight="true" outlineLevel="0" collapsed="false">
      <c r="A15" s="24" t="s">
        <v>164</v>
      </c>
      <c r="B15" s="24" t="s">
        <v>167</v>
      </c>
      <c r="C15" s="25" t="s">
        <v>140</v>
      </c>
      <c r="D15" s="25" t="s">
        <v>145</v>
      </c>
      <c r="E15" s="25" t="n">
        <v>2048</v>
      </c>
      <c r="F15" s="25" t="n">
        <v>4096</v>
      </c>
      <c r="G15" s="25" t="n">
        <v>2</v>
      </c>
      <c r="H15" s="26" t="n">
        <v>0.15</v>
      </c>
      <c r="I15" s="26" t="n">
        <v>0.22</v>
      </c>
      <c r="J15" s="27" t="str">
        <f aca="false">IF(H15&lt;0.3,"⚠️ YES – Reduce","✅ OK")</f>
        <v>⚠️ YES – Reduce</v>
      </c>
      <c r="K15" s="27" t="str">
        <f aca="false">IF(I15&lt;0.5,"⚠️ YES – Reduce","✅ OK")</f>
        <v>⚠️ YES – Reduce</v>
      </c>
      <c r="L15" s="28" t="s">
        <v>141</v>
      </c>
      <c r="M15" s="28" t="s">
        <v>142</v>
      </c>
      <c r="N15" s="25" t="s">
        <v>166</v>
      </c>
    </row>
    <row r="16" customFormat="false" ht="18" hidden="false" customHeight="true" outlineLevel="0" collapsed="false">
      <c r="A16" s="29" t="s">
        <v>168</v>
      </c>
      <c r="B16" s="29" t="s">
        <v>169</v>
      </c>
      <c r="C16" s="30" t="s">
        <v>139</v>
      </c>
      <c r="D16" s="30" t="s">
        <v>145</v>
      </c>
      <c r="E16" s="30" t="n">
        <v>4096</v>
      </c>
      <c r="F16" s="30" t="n">
        <v>8192</v>
      </c>
      <c r="G16" s="30" t="n">
        <v>2</v>
      </c>
      <c r="H16" s="31" t="n">
        <v>0.38</v>
      </c>
      <c r="I16" s="31" t="n">
        <v>0.71</v>
      </c>
      <c r="J16" s="33" t="str">
        <f aca="false">IF(H16&lt;0.3,"⚠️ YES – Reduce","✅ OK")</f>
        <v>✅ OK</v>
      </c>
      <c r="K16" s="33" t="str">
        <f aca="false">IF(I16&lt;0.5,"⚠️ YES – Reduce","✅ OK")</f>
        <v>✅ OK</v>
      </c>
      <c r="L16" s="34" t="s">
        <v>150</v>
      </c>
      <c r="M16" s="35" t="s">
        <v>151</v>
      </c>
      <c r="N16" s="30" t="s">
        <v>52</v>
      </c>
    </row>
    <row r="17" customFormat="false" ht="18" hidden="false" customHeight="true" outlineLevel="0" collapsed="false">
      <c r="A17" s="24" t="s">
        <v>168</v>
      </c>
      <c r="B17" s="24" t="s">
        <v>170</v>
      </c>
      <c r="C17" s="25" t="s">
        <v>157</v>
      </c>
      <c r="D17" s="25" t="s">
        <v>139</v>
      </c>
      <c r="E17" s="25" t="n">
        <v>512</v>
      </c>
      <c r="F17" s="25" t="n">
        <v>1024</v>
      </c>
      <c r="G17" s="25" t="n">
        <v>2</v>
      </c>
      <c r="H17" s="26" t="n">
        <v>0.11</v>
      </c>
      <c r="I17" s="26" t="n">
        <v>0.18</v>
      </c>
      <c r="J17" s="27" t="str">
        <f aca="false">IF(H17&lt;0.3,"⚠️ YES – Reduce","✅ OK")</f>
        <v>⚠️ YES – Reduce</v>
      </c>
      <c r="K17" s="27" t="str">
        <f aca="false">IF(I17&lt;0.5,"⚠️ YES – Reduce","✅ OK")</f>
        <v>⚠️ YES – Reduce</v>
      </c>
      <c r="L17" s="28" t="s">
        <v>141</v>
      </c>
      <c r="M17" s="28" t="s">
        <v>142</v>
      </c>
      <c r="N17" s="25" t="s">
        <v>52</v>
      </c>
    </row>
    <row r="18" customFormat="false" ht="18" hidden="false" customHeight="true" outlineLevel="0" collapsed="false">
      <c r="A18" s="29" t="s">
        <v>168</v>
      </c>
      <c r="B18" s="29" t="s">
        <v>171</v>
      </c>
      <c r="C18" s="30" t="s">
        <v>147</v>
      </c>
      <c r="D18" s="30" t="s">
        <v>157</v>
      </c>
      <c r="E18" s="30" t="n">
        <v>128</v>
      </c>
      <c r="F18" s="30" t="n">
        <v>256</v>
      </c>
      <c r="G18" s="30" t="n">
        <v>3</v>
      </c>
      <c r="H18" s="31" t="n">
        <v>0.06</v>
      </c>
      <c r="I18" s="31" t="n">
        <v>0.09</v>
      </c>
      <c r="J18" s="32" t="str">
        <f aca="false">IF(H18&lt;0.3,"⚠️ YES – Reduce","✅ OK")</f>
        <v>⚠️ YES – Reduce</v>
      </c>
      <c r="K18" s="32" t="str">
        <f aca="false">IF(I18&lt;0.5,"⚠️ YES – Reduce","✅ OK")</f>
        <v>⚠️ YES – Reduce</v>
      </c>
      <c r="L18" s="28" t="s">
        <v>141</v>
      </c>
      <c r="M18" s="28" t="s">
        <v>142</v>
      </c>
      <c r="N18" s="30" t="s">
        <v>52</v>
      </c>
    </row>
    <row r="19" customFormat="false" ht="18" hidden="false" customHeight="true" outlineLevel="0" collapsed="false">
      <c r="A19" s="24" t="s">
        <v>172</v>
      </c>
      <c r="B19" s="24" t="s">
        <v>173</v>
      </c>
      <c r="C19" s="25" t="s">
        <v>147</v>
      </c>
      <c r="D19" s="25" t="s">
        <v>174</v>
      </c>
      <c r="E19" s="25" t="n">
        <v>128</v>
      </c>
      <c r="F19" s="25" t="n">
        <v>256</v>
      </c>
      <c r="G19" s="25" t="n">
        <v>3</v>
      </c>
      <c r="H19" s="26" t="n">
        <v>0.04</v>
      </c>
      <c r="I19" s="26" t="n">
        <v>0.08</v>
      </c>
      <c r="J19" s="27" t="str">
        <f aca="false">IF(H19&lt;0.3,"⚠️ YES – Reduce","✅ OK")</f>
        <v>⚠️ YES – Reduce</v>
      </c>
      <c r="K19" s="27" t="str">
        <f aca="false">IF(I19&lt;0.5,"⚠️ YES – Reduce","✅ OK")</f>
        <v>⚠️ YES – Reduce</v>
      </c>
      <c r="L19" s="28" t="s">
        <v>141</v>
      </c>
      <c r="M19" s="28" t="s">
        <v>142</v>
      </c>
      <c r="N19" s="25" t="s">
        <v>52</v>
      </c>
    </row>
    <row r="20" customFormat="false" ht="18" hidden="false" customHeight="true" outlineLevel="0" collapsed="false">
      <c r="A20" s="29" t="s">
        <v>172</v>
      </c>
      <c r="B20" s="29" t="s">
        <v>175</v>
      </c>
      <c r="C20" s="30" t="s">
        <v>176</v>
      </c>
      <c r="D20" s="30" t="s">
        <v>147</v>
      </c>
      <c r="E20" s="30" t="n">
        <v>64</v>
      </c>
      <c r="F20" s="30" t="n">
        <v>128</v>
      </c>
      <c r="G20" s="30" t="n">
        <v>1</v>
      </c>
      <c r="H20" s="31" t="n">
        <v>0.03</v>
      </c>
      <c r="I20" s="31" t="n">
        <v>0.06</v>
      </c>
      <c r="J20" s="32" t="str">
        <f aca="false">IF(H20&lt;0.3,"⚠️ YES – Reduce","✅ OK")</f>
        <v>⚠️ YES – Reduce</v>
      </c>
      <c r="K20" s="32" t="str">
        <f aca="false">IF(I20&lt;0.5,"⚠️ YES – Reduce","✅ OK")</f>
        <v>⚠️ YES – Reduce</v>
      </c>
      <c r="L20" s="28" t="s">
        <v>141</v>
      </c>
      <c r="M20" s="28" t="s">
        <v>142</v>
      </c>
      <c r="N20" s="30" t="s">
        <v>52</v>
      </c>
    </row>
    <row r="21" customFormat="false" ht="18" hidden="false" customHeight="true" outlineLevel="0" collapsed="false">
      <c r="A21" s="24" t="s">
        <v>177</v>
      </c>
      <c r="B21" s="24" t="s">
        <v>178</v>
      </c>
      <c r="C21" s="25" t="s">
        <v>145</v>
      </c>
      <c r="D21" s="25" t="s">
        <v>154</v>
      </c>
      <c r="E21" s="25" t="n">
        <v>2048</v>
      </c>
      <c r="F21" s="25" t="n">
        <v>4096</v>
      </c>
      <c r="G21" s="25" t="n">
        <v>1</v>
      </c>
      <c r="H21" s="26" t="n">
        <v>0.09</v>
      </c>
      <c r="I21" s="26" t="n">
        <v>0.11</v>
      </c>
      <c r="J21" s="27" t="str">
        <f aca="false">IF(H21&lt;0.3,"⚠️ YES – Reduce","✅ OK")</f>
        <v>⚠️ YES – Reduce</v>
      </c>
      <c r="K21" s="27" t="str">
        <f aca="false">IF(I21&lt;0.5,"⚠️ YES – Reduce","✅ OK")</f>
        <v>⚠️ YES – Reduce</v>
      </c>
      <c r="L21" s="28" t="s">
        <v>141</v>
      </c>
      <c r="M21" s="28" t="s">
        <v>142</v>
      </c>
      <c r="N21" s="25" t="s">
        <v>179</v>
      </c>
    </row>
    <row r="22" customFormat="false" ht="18" hidden="false" customHeight="true" outlineLevel="0" collapsed="false">
      <c r="A22" s="29" t="s">
        <v>180</v>
      </c>
      <c r="B22" s="29" t="s">
        <v>181</v>
      </c>
      <c r="C22" s="30" t="s">
        <v>154</v>
      </c>
      <c r="D22" s="30" t="s">
        <v>160</v>
      </c>
      <c r="E22" s="30" t="n">
        <v>8192</v>
      </c>
      <c r="F22" s="30" t="n">
        <v>16384</v>
      </c>
      <c r="G22" s="30" t="n">
        <v>1</v>
      </c>
      <c r="H22" s="31" t="n">
        <v>0.07</v>
      </c>
      <c r="I22" s="31" t="n">
        <v>0.08</v>
      </c>
      <c r="J22" s="32" t="str">
        <f aca="false">IF(H22&lt;0.3,"⚠️ YES – Reduce","✅ OK")</f>
        <v>⚠️ YES – Reduce</v>
      </c>
      <c r="K22" s="32" t="str">
        <f aca="false">IF(I22&lt;0.5,"⚠️ YES – Reduce","✅ OK")</f>
        <v>⚠️ YES – Reduce</v>
      </c>
      <c r="L22" s="28" t="s">
        <v>141</v>
      </c>
      <c r="M22" s="28" t="s">
        <v>142</v>
      </c>
      <c r="N22" s="30" t="s">
        <v>182</v>
      </c>
    </row>
    <row r="23" customFormat="false" ht="18" hidden="false" customHeight="true" outlineLevel="0" collapsed="false">
      <c r="A23" s="24" t="s">
        <v>183</v>
      </c>
      <c r="B23" s="24" t="s">
        <v>184</v>
      </c>
      <c r="C23" s="25" t="s">
        <v>140</v>
      </c>
      <c r="D23" s="25" t="s">
        <v>145</v>
      </c>
      <c r="E23" s="25" t="n">
        <v>1024</v>
      </c>
      <c r="F23" s="25" t="n">
        <v>2048</v>
      </c>
      <c r="G23" s="25" t="n">
        <v>2</v>
      </c>
      <c r="H23" s="26" t="n">
        <v>0.14</v>
      </c>
      <c r="I23" s="26" t="n">
        <v>0.19</v>
      </c>
      <c r="J23" s="27" t="str">
        <f aca="false">IF(H23&lt;0.3,"⚠️ YES – Reduce","✅ OK")</f>
        <v>⚠️ YES – Reduce</v>
      </c>
      <c r="K23" s="27" t="str">
        <f aca="false">IF(I23&lt;0.5,"⚠️ YES – Reduce","✅ OK")</f>
        <v>⚠️ YES – Reduce</v>
      </c>
      <c r="L23" s="28" t="s">
        <v>141</v>
      </c>
      <c r="M23" s="28" t="s">
        <v>142</v>
      </c>
      <c r="N23" s="25" t="s">
        <v>185</v>
      </c>
    </row>
    <row r="24" customFormat="false" ht="18" hidden="false" customHeight="true" outlineLevel="0" collapsed="false">
      <c r="A24" s="29" t="s">
        <v>183</v>
      </c>
      <c r="B24" s="29" t="s">
        <v>186</v>
      </c>
      <c r="C24" s="30" t="s">
        <v>139</v>
      </c>
      <c r="D24" s="30" t="s">
        <v>140</v>
      </c>
      <c r="E24" s="30" t="n">
        <v>512</v>
      </c>
      <c r="F24" s="30" t="n">
        <v>1024</v>
      </c>
      <c r="G24" s="30" t="n">
        <v>1</v>
      </c>
      <c r="H24" s="31" t="n">
        <v>0.21</v>
      </c>
      <c r="I24" s="31" t="n">
        <v>0.28</v>
      </c>
      <c r="J24" s="32" t="str">
        <f aca="false">IF(H24&lt;0.3,"⚠️ YES – Reduce","✅ OK")</f>
        <v>⚠️ YES – Reduce</v>
      </c>
      <c r="K24" s="32" t="str">
        <f aca="false">IF(I24&lt;0.5,"⚠️ YES – Reduce","✅ OK")</f>
        <v>⚠️ YES – Reduce</v>
      </c>
      <c r="L24" s="28" t="s">
        <v>141</v>
      </c>
      <c r="M24" s="28" t="s">
        <v>142</v>
      </c>
      <c r="N24" s="30" t="s">
        <v>185</v>
      </c>
    </row>
    <row r="26" customFormat="false" ht="19.5" hidden="false" customHeight="true" outlineLevel="0" collapsed="false">
      <c r="A26" s="37" t="s">
        <v>187</v>
      </c>
      <c r="B26" s="37"/>
      <c r="K26" s="38" t="n">
        <f aca="false">SUM(G5:G24)</f>
        <v>47</v>
      </c>
      <c r="L26" s="39" t="n">
        <f aca="false">AVERAGE(H5:H24)</f>
        <v>0.218</v>
      </c>
      <c r="M26" s="39" t="n">
        <f aca="false">AVERAGE(I5:I24)</f>
        <v>0.315</v>
      </c>
    </row>
  </sheetData>
  <autoFilter ref="A4:N24"/>
  <mergeCells count="3">
    <mergeCell ref="A1:J1"/>
    <mergeCell ref="A2:J2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15" min="5" style="1" width="12"/>
    <col collapsed="false" customWidth="true" hidden="false" outlineLevel="0" max="16" min="16" style="1" width="16"/>
  </cols>
  <sheetData>
    <row r="1" customFormat="false" ht="36" hidden="false" customHeight="true" outlineLevel="0" collapsed="false">
      <c r="A1" s="2" t="s">
        <v>188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189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0" hidden="false" customHeight="true" outlineLevel="0" collapsed="false">
      <c r="A4" s="23" t="s">
        <v>124</v>
      </c>
      <c r="B4" s="23" t="s">
        <v>190</v>
      </c>
      <c r="C4" s="23" t="s">
        <v>191</v>
      </c>
      <c r="D4" s="23" t="s">
        <v>192</v>
      </c>
      <c r="E4" s="23" t="s">
        <v>193</v>
      </c>
      <c r="F4" s="23" t="s">
        <v>194</v>
      </c>
      <c r="G4" s="23" t="s">
        <v>195</v>
      </c>
      <c r="H4" s="23" t="s">
        <v>196</v>
      </c>
      <c r="I4" s="23" t="s">
        <v>197</v>
      </c>
      <c r="J4" s="23" t="s">
        <v>198</v>
      </c>
      <c r="K4" s="23" t="s">
        <v>199</v>
      </c>
      <c r="L4" s="23" t="s">
        <v>200</v>
      </c>
      <c r="M4" s="23" t="s">
        <v>201</v>
      </c>
      <c r="N4" s="23" t="s">
        <v>202</v>
      </c>
      <c r="O4" s="23" t="s">
        <v>203</v>
      </c>
      <c r="P4" s="23" t="s">
        <v>204</v>
      </c>
    </row>
    <row r="5" customFormat="false" ht="18" hidden="false" customHeight="true" outlineLevel="0" collapsed="false">
      <c r="A5" s="24" t="s">
        <v>137</v>
      </c>
      <c r="B5" s="24" t="s">
        <v>143</v>
      </c>
      <c r="C5" s="24" t="s">
        <v>205</v>
      </c>
      <c r="D5" s="40" t="n">
        <v>8000</v>
      </c>
      <c r="E5" s="40" t="n">
        <v>7200</v>
      </c>
      <c r="F5" s="40" t="n">
        <v>7850</v>
      </c>
      <c r="G5" s="40" t="n">
        <v>8400</v>
      </c>
      <c r="H5" s="41" t="n">
        <f aca="false">E5+F5+G5</f>
        <v>23450</v>
      </c>
      <c r="I5" s="40" t="n">
        <f aca="false">D5*3</f>
        <v>24000</v>
      </c>
      <c r="J5" s="42" t="n">
        <f aca="false">H5-I5</f>
        <v>-550</v>
      </c>
      <c r="K5" s="43" t="n">
        <f aca="false">IF(I5&gt;0,(H5-I5)/I5,0)</f>
        <v>-0.0229166666666667</v>
      </c>
      <c r="L5" s="40" t="n">
        <f aca="false">H5</f>
        <v>23450</v>
      </c>
      <c r="M5" s="40" t="n">
        <f aca="false">I5</f>
        <v>24000</v>
      </c>
      <c r="N5" s="43" t="n">
        <f aca="false">IF(M5&gt;0,(L5-M5)/M5,0)</f>
        <v>-0.0229166666666667</v>
      </c>
      <c r="O5" s="25" t="s">
        <v>206</v>
      </c>
      <c r="P5" s="44" t="s">
        <v>207</v>
      </c>
    </row>
    <row r="6" customFormat="false" ht="18" hidden="false" customHeight="true" outlineLevel="0" collapsed="false">
      <c r="A6" s="29" t="s">
        <v>148</v>
      </c>
      <c r="B6" s="29" t="s">
        <v>152</v>
      </c>
      <c r="C6" s="29" t="s">
        <v>208</v>
      </c>
      <c r="D6" s="45" t="n">
        <v>15000</v>
      </c>
      <c r="E6" s="45" t="n">
        <v>13500</v>
      </c>
      <c r="F6" s="45" t="n">
        <v>14200</v>
      </c>
      <c r="G6" s="45" t="n">
        <v>16100</v>
      </c>
      <c r="H6" s="46" t="n">
        <f aca="false">E6+F6+G6</f>
        <v>43800</v>
      </c>
      <c r="I6" s="45" t="n">
        <f aca="false">D6*3</f>
        <v>45000</v>
      </c>
      <c r="J6" s="47" t="n">
        <f aca="false">H6-I6</f>
        <v>-1200</v>
      </c>
      <c r="K6" s="43" t="n">
        <f aca="false">IF(I6&gt;0,(H6-I6)/I6,0)</f>
        <v>-0.0266666666666667</v>
      </c>
      <c r="L6" s="45" t="n">
        <f aca="false">H6</f>
        <v>43800</v>
      </c>
      <c r="M6" s="45" t="n">
        <f aca="false">I6</f>
        <v>45000</v>
      </c>
      <c r="N6" s="43" t="n">
        <f aca="false">IF(M6&gt;0,(L6-M6)/M6,0)</f>
        <v>-0.0266666666666667</v>
      </c>
      <c r="O6" s="30" t="s">
        <v>206</v>
      </c>
      <c r="P6" s="44" t="s">
        <v>207</v>
      </c>
    </row>
    <row r="7" customFormat="false" ht="18" hidden="false" customHeight="true" outlineLevel="0" collapsed="false">
      <c r="A7" s="24" t="s">
        <v>158</v>
      </c>
      <c r="B7" s="24" t="s">
        <v>161</v>
      </c>
      <c r="C7" s="24" t="s">
        <v>209</v>
      </c>
      <c r="D7" s="40" t="n">
        <v>25000</v>
      </c>
      <c r="E7" s="40" t="n">
        <v>22000</v>
      </c>
      <c r="F7" s="40" t="n">
        <v>24500</v>
      </c>
      <c r="G7" s="40" t="n">
        <v>27300</v>
      </c>
      <c r="H7" s="41" t="n">
        <f aca="false">E7+F7+G7</f>
        <v>73800</v>
      </c>
      <c r="I7" s="40" t="n">
        <f aca="false">D7*3</f>
        <v>75000</v>
      </c>
      <c r="J7" s="42" t="n">
        <f aca="false">H7-I7</f>
        <v>-1200</v>
      </c>
      <c r="K7" s="43" t="n">
        <f aca="false">IF(I7&gt;0,(H7-I7)/I7,0)</f>
        <v>-0.016</v>
      </c>
      <c r="L7" s="40" t="n">
        <f aca="false">H7</f>
        <v>73800</v>
      </c>
      <c r="M7" s="40" t="n">
        <f aca="false">I7</f>
        <v>75000</v>
      </c>
      <c r="N7" s="43" t="n">
        <f aca="false">IF(M7&gt;0,(L7-M7)/M7,0)</f>
        <v>-0.016</v>
      </c>
      <c r="O7" s="25" t="s">
        <v>206</v>
      </c>
      <c r="P7" s="44" t="s">
        <v>207</v>
      </c>
    </row>
    <row r="8" customFormat="false" ht="18" hidden="false" customHeight="true" outlineLevel="0" collapsed="false">
      <c r="A8" s="29" t="s">
        <v>164</v>
      </c>
      <c r="B8" s="29" t="s">
        <v>166</v>
      </c>
      <c r="C8" s="29" t="s">
        <v>210</v>
      </c>
      <c r="D8" s="45" t="n">
        <v>30000</v>
      </c>
      <c r="E8" s="45" t="n">
        <v>28500</v>
      </c>
      <c r="F8" s="45" t="n">
        <v>31200</v>
      </c>
      <c r="G8" s="45" t="n">
        <v>33600</v>
      </c>
      <c r="H8" s="46" t="n">
        <f aca="false">E8+F8+G8</f>
        <v>93300</v>
      </c>
      <c r="I8" s="45" t="n">
        <f aca="false">D8*3</f>
        <v>90000</v>
      </c>
      <c r="J8" s="48" t="n">
        <f aca="false">H8-I8</f>
        <v>3300</v>
      </c>
      <c r="K8" s="49" t="n">
        <f aca="false">IF(I8&gt;0,(H8-I8)/I8,0)</f>
        <v>0.0366666666666667</v>
      </c>
      <c r="L8" s="45" t="n">
        <f aca="false">H8</f>
        <v>93300</v>
      </c>
      <c r="M8" s="45" t="n">
        <f aca="false">I8</f>
        <v>90000</v>
      </c>
      <c r="N8" s="49" t="n">
        <f aca="false">IF(M8&gt;0,(L8-M8)/M8,0)</f>
        <v>0.0366666666666667</v>
      </c>
      <c r="O8" s="30" t="s">
        <v>206</v>
      </c>
      <c r="P8" s="28" t="s">
        <v>211</v>
      </c>
    </row>
    <row r="9" customFormat="false" ht="18" hidden="false" customHeight="true" outlineLevel="0" collapsed="false">
      <c r="A9" s="24" t="s">
        <v>168</v>
      </c>
      <c r="B9" s="24" t="s">
        <v>52</v>
      </c>
      <c r="C9" s="24" t="s">
        <v>212</v>
      </c>
      <c r="D9" s="40" t="n">
        <v>5000</v>
      </c>
      <c r="E9" s="40" t="n">
        <v>4200</v>
      </c>
      <c r="F9" s="40" t="n">
        <v>4600</v>
      </c>
      <c r="G9" s="40" t="n">
        <v>4900</v>
      </c>
      <c r="H9" s="41" t="n">
        <f aca="false">E9+F9+G9</f>
        <v>13700</v>
      </c>
      <c r="I9" s="40" t="n">
        <f aca="false">D9*3</f>
        <v>15000</v>
      </c>
      <c r="J9" s="42" t="n">
        <f aca="false">H9-I9</f>
        <v>-1300</v>
      </c>
      <c r="K9" s="43" t="n">
        <f aca="false">IF(I9&gt;0,(H9-I9)/I9,0)</f>
        <v>-0.0866666666666667</v>
      </c>
      <c r="L9" s="40" t="n">
        <f aca="false">H9</f>
        <v>13700</v>
      </c>
      <c r="M9" s="40" t="n">
        <f aca="false">I9</f>
        <v>15000</v>
      </c>
      <c r="N9" s="43" t="n">
        <f aca="false">IF(M9&gt;0,(L9-M9)/M9,0)</f>
        <v>-0.0866666666666667</v>
      </c>
      <c r="O9" s="25" t="s">
        <v>206</v>
      </c>
      <c r="P9" s="44" t="s">
        <v>207</v>
      </c>
    </row>
    <row r="10" customFormat="false" ht="18" hidden="false" customHeight="true" outlineLevel="0" collapsed="false">
      <c r="A10" s="29" t="s">
        <v>172</v>
      </c>
      <c r="B10" s="29" t="s">
        <v>52</v>
      </c>
      <c r="C10" s="29" t="s">
        <v>212</v>
      </c>
      <c r="D10" s="45" t="n">
        <v>3000</v>
      </c>
      <c r="E10" s="45" t="n">
        <v>2800</v>
      </c>
      <c r="F10" s="45" t="n">
        <v>2950</v>
      </c>
      <c r="G10" s="45" t="n">
        <v>3100</v>
      </c>
      <c r="H10" s="46" t="n">
        <f aca="false">E10+F10+G10</f>
        <v>8850</v>
      </c>
      <c r="I10" s="45" t="n">
        <f aca="false">D10*3</f>
        <v>9000</v>
      </c>
      <c r="J10" s="47" t="n">
        <f aca="false">H10-I10</f>
        <v>-150</v>
      </c>
      <c r="K10" s="43" t="n">
        <f aca="false">IF(I10&gt;0,(H10-I10)/I10,0)</f>
        <v>-0.0166666666666667</v>
      </c>
      <c r="L10" s="45" t="n">
        <f aca="false">H10</f>
        <v>8850</v>
      </c>
      <c r="M10" s="45" t="n">
        <f aca="false">I10</f>
        <v>9000</v>
      </c>
      <c r="N10" s="43" t="n">
        <f aca="false">IF(M10&gt;0,(L10-M10)/M10,0)</f>
        <v>-0.0166666666666667</v>
      </c>
      <c r="O10" s="30" t="s">
        <v>206</v>
      </c>
      <c r="P10" s="44" t="s">
        <v>207</v>
      </c>
    </row>
    <row r="11" customFormat="false" ht="18" hidden="false" customHeight="true" outlineLevel="0" collapsed="false">
      <c r="A11" s="24" t="s">
        <v>177</v>
      </c>
      <c r="B11" s="24" t="s">
        <v>179</v>
      </c>
      <c r="C11" s="24" t="s">
        <v>213</v>
      </c>
      <c r="D11" s="40" t="n">
        <v>4000</v>
      </c>
      <c r="E11" s="40" t="n">
        <v>3200</v>
      </c>
      <c r="F11" s="40" t="n">
        <v>3600</v>
      </c>
      <c r="G11" s="40" t="n">
        <v>4200</v>
      </c>
      <c r="H11" s="41" t="n">
        <f aca="false">E11+F11+G11</f>
        <v>11000</v>
      </c>
      <c r="I11" s="40" t="n">
        <f aca="false">D11*3</f>
        <v>12000</v>
      </c>
      <c r="J11" s="42" t="n">
        <f aca="false">H11-I11</f>
        <v>-1000</v>
      </c>
      <c r="K11" s="43" t="n">
        <f aca="false">IF(I11&gt;0,(H11-I11)/I11,0)</f>
        <v>-0.0833333333333333</v>
      </c>
      <c r="L11" s="40" t="n">
        <f aca="false">H11</f>
        <v>11000</v>
      </c>
      <c r="M11" s="40" t="n">
        <f aca="false">I11</f>
        <v>12000</v>
      </c>
      <c r="N11" s="43" t="n">
        <f aca="false">IF(M11&gt;0,(L11-M11)/M11,0)</f>
        <v>-0.0833333333333333</v>
      </c>
      <c r="O11" s="25" t="s">
        <v>206</v>
      </c>
      <c r="P11" s="44" t="s">
        <v>207</v>
      </c>
    </row>
    <row r="12" customFormat="false" ht="18" hidden="false" customHeight="true" outlineLevel="0" collapsed="false">
      <c r="A12" s="29" t="s">
        <v>180</v>
      </c>
      <c r="B12" s="29" t="s">
        <v>182</v>
      </c>
      <c r="C12" s="29" t="s">
        <v>214</v>
      </c>
      <c r="D12" s="45" t="n">
        <v>6000</v>
      </c>
      <c r="E12" s="45" t="n">
        <v>5500</v>
      </c>
      <c r="F12" s="45" t="n">
        <v>6100</v>
      </c>
      <c r="G12" s="45" t="n">
        <v>6800</v>
      </c>
      <c r="H12" s="46" t="n">
        <f aca="false">E12+F12+G12</f>
        <v>18400</v>
      </c>
      <c r="I12" s="45" t="n">
        <f aca="false">D12*3</f>
        <v>18000</v>
      </c>
      <c r="J12" s="48" t="n">
        <f aca="false">H12-I12</f>
        <v>400</v>
      </c>
      <c r="K12" s="49" t="n">
        <f aca="false">IF(I12&gt;0,(H12-I12)/I12,0)</f>
        <v>0.0222222222222222</v>
      </c>
      <c r="L12" s="45" t="n">
        <f aca="false">H12</f>
        <v>18400</v>
      </c>
      <c r="M12" s="45" t="n">
        <f aca="false">I12</f>
        <v>18000</v>
      </c>
      <c r="N12" s="49" t="n">
        <f aca="false">IF(M12&gt;0,(L12-M12)/M12,0)</f>
        <v>0.0222222222222222</v>
      </c>
      <c r="O12" s="30" t="s">
        <v>206</v>
      </c>
      <c r="P12" s="28" t="s">
        <v>211</v>
      </c>
    </row>
    <row r="13" customFormat="false" ht="18" hidden="false" customHeight="true" outlineLevel="0" collapsed="false">
      <c r="A13" s="24" t="s">
        <v>183</v>
      </c>
      <c r="B13" s="24" t="s">
        <v>185</v>
      </c>
      <c r="C13" s="24" t="s">
        <v>215</v>
      </c>
      <c r="D13" s="40" t="n">
        <v>8000</v>
      </c>
      <c r="E13" s="40" t="n">
        <v>7100</v>
      </c>
      <c r="F13" s="40" t="n">
        <v>7800</v>
      </c>
      <c r="G13" s="40" t="n">
        <v>8900</v>
      </c>
      <c r="H13" s="41" t="n">
        <f aca="false">E13+F13+G13</f>
        <v>23800</v>
      </c>
      <c r="I13" s="40" t="n">
        <f aca="false">D13*3</f>
        <v>24000</v>
      </c>
      <c r="J13" s="42" t="n">
        <f aca="false">H13-I13</f>
        <v>-200</v>
      </c>
      <c r="K13" s="43" t="n">
        <f aca="false">IF(I13&gt;0,(H13-I13)/I13,0)</f>
        <v>-0.00833333333333333</v>
      </c>
      <c r="L13" s="40" t="n">
        <f aca="false">H13</f>
        <v>23800</v>
      </c>
      <c r="M13" s="40" t="n">
        <f aca="false">I13</f>
        <v>24000</v>
      </c>
      <c r="N13" s="43" t="n">
        <f aca="false">IF(M13&gt;0,(L13-M13)/M13,0)</f>
        <v>-0.00833333333333333</v>
      </c>
      <c r="O13" s="25" t="s">
        <v>206</v>
      </c>
      <c r="P13" s="44" t="s">
        <v>207</v>
      </c>
    </row>
    <row r="14" customFormat="false" ht="18" hidden="false" customHeight="true" outlineLevel="0" collapsed="false">
      <c r="A14" s="29" t="s">
        <v>216</v>
      </c>
      <c r="B14" s="29" t="s">
        <v>52</v>
      </c>
      <c r="C14" s="29" t="s">
        <v>212</v>
      </c>
      <c r="D14" s="45" t="n">
        <v>20000</v>
      </c>
      <c r="E14" s="45" t="n">
        <v>18500</v>
      </c>
      <c r="F14" s="45" t="n">
        <v>19800</v>
      </c>
      <c r="G14" s="45" t="n">
        <v>21500</v>
      </c>
      <c r="H14" s="46" t="n">
        <f aca="false">E14+F14+G14</f>
        <v>59800</v>
      </c>
      <c r="I14" s="45" t="n">
        <f aca="false">D14*3</f>
        <v>60000</v>
      </c>
      <c r="J14" s="47" t="n">
        <f aca="false">H14-I14</f>
        <v>-200</v>
      </c>
      <c r="K14" s="43" t="n">
        <f aca="false">IF(I14&gt;0,(H14-I14)/I14,0)</f>
        <v>-0.00333333333333333</v>
      </c>
      <c r="L14" s="45" t="n">
        <f aca="false">H14</f>
        <v>59800</v>
      </c>
      <c r="M14" s="45" t="n">
        <f aca="false">I14</f>
        <v>60000</v>
      </c>
      <c r="N14" s="43" t="n">
        <f aca="false">IF(M14&gt;0,(L14-M14)/M14,0)</f>
        <v>-0.00333333333333333</v>
      </c>
      <c r="O14" s="30" t="s">
        <v>206</v>
      </c>
      <c r="P14" s="44" t="s">
        <v>207</v>
      </c>
    </row>
    <row r="15" customFormat="false" ht="18" hidden="false" customHeight="true" outlineLevel="0" collapsed="false">
      <c r="A15" s="24" t="s">
        <v>217</v>
      </c>
      <c r="B15" s="24" t="s">
        <v>67</v>
      </c>
      <c r="C15" s="24" t="s">
        <v>218</v>
      </c>
      <c r="D15" s="40" t="n">
        <v>3000</v>
      </c>
      <c r="E15" s="40" t="n">
        <v>2600</v>
      </c>
      <c r="F15" s="40" t="n">
        <v>2800</v>
      </c>
      <c r="G15" s="40" t="n">
        <v>3000</v>
      </c>
      <c r="H15" s="41" t="n">
        <f aca="false">E15+F15+G15</f>
        <v>8400</v>
      </c>
      <c r="I15" s="40" t="n">
        <f aca="false">D15*3</f>
        <v>9000</v>
      </c>
      <c r="J15" s="42" t="n">
        <f aca="false">H15-I15</f>
        <v>-600</v>
      </c>
      <c r="K15" s="43" t="n">
        <f aca="false">IF(I15&gt;0,(H15-I15)/I15,0)</f>
        <v>-0.0666666666666667</v>
      </c>
      <c r="L15" s="40" t="n">
        <f aca="false">H15</f>
        <v>8400</v>
      </c>
      <c r="M15" s="40" t="n">
        <f aca="false">I15</f>
        <v>9000</v>
      </c>
      <c r="N15" s="43" t="n">
        <f aca="false">IF(M15&gt;0,(L15-M15)/M15,0)</f>
        <v>-0.0666666666666667</v>
      </c>
      <c r="O15" s="25" t="s">
        <v>206</v>
      </c>
      <c r="P15" s="44" t="s">
        <v>207</v>
      </c>
    </row>
    <row r="16" customFormat="false" ht="18" hidden="false" customHeight="true" outlineLevel="0" collapsed="false">
      <c r="A16" s="29" t="s">
        <v>219</v>
      </c>
      <c r="B16" s="29" t="s">
        <v>220</v>
      </c>
      <c r="C16" s="29" t="s">
        <v>221</v>
      </c>
      <c r="D16" s="45" t="n">
        <v>4000</v>
      </c>
      <c r="E16" s="45" t="n">
        <v>3700</v>
      </c>
      <c r="F16" s="45" t="n">
        <v>3900</v>
      </c>
      <c r="G16" s="45" t="n">
        <v>4100</v>
      </c>
      <c r="H16" s="46" t="n">
        <f aca="false">E16+F16+G16</f>
        <v>11700</v>
      </c>
      <c r="I16" s="45" t="n">
        <f aca="false">D16*3</f>
        <v>12000</v>
      </c>
      <c r="J16" s="47" t="n">
        <f aca="false">H16-I16</f>
        <v>-300</v>
      </c>
      <c r="K16" s="43" t="n">
        <f aca="false">IF(I16&gt;0,(H16-I16)/I16,0)</f>
        <v>-0.025</v>
      </c>
      <c r="L16" s="45" t="n">
        <f aca="false">H16</f>
        <v>11700</v>
      </c>
      <c r="M16" s="45" t="n">
        <f aca="false">I16</f>
        <v>12000</v>
      </c>
      <c r="N16" s="43" t="n">
        <f aca="false">IF(M16&gt;0,(L16-M16)/M16,0)</f>
        <v>-0.025</v>
      </c>
      <c r="O16" s="30" t="s">
        <v>206</v>
      </c>
      <c r="P16" s="44" t="s">
        <v>207</v>
      </c>
    </row>
    <row r="17" customFormat="false" ht="19.5" hidden="false" customHeight="true" outlineLevel="0" collapsed="false">
      <c r="A17" s="50" t="s">
        <v>222</v>
      </c>
      <c r="B17" s="51"/>
      <c r="C17" s="51"/>
      <c r="D17" s="52" t="n">
        <f aca="false">SUM(D5:D16)</f>
        <v>131000</v>
      </c>
      <c r="E17" s="52" t="n">
        <f aca="false">SUM(E5:E16)</f>
        <v>118800</v>
      </c>
      <c r="F17" s="52" t="n">
        <f aca="false">SUM(F5:F16)</f>
        <v>129300</v>
      </c>
      <c r="G17" s="52" t="n">
        <f aca="false">SUM(G5:G16)</f>
        <v>141900</v>
      </c>
      <c r="H17" s="52" t="n">
        <f aca="false">SUM(H5:H16)</f>
        <v>390000</v>
      </c>
      <c r="I17" s="52" t="n">
        <f aca="false">SUM(I5:I16)</f>
        <v>393000</v>
      </c>
      <c r="J17" s="52" t="n">
        <f aca="false">SUM(J5:J16)</f>
        <v>-3000</v>
      </c>
      <c r="K17" s="51"/>
      <c r="L17" s="52" t="n">
        <f aca="false">SUM(L5:L16)</f>
        <v>390000</v>
      </c>
      <c r="M17" s="52" t="n">
        <f aca="false">SUM(M5:M16)</f>
        <v>393000</v>
      </c>
      <c r="N17" s="51"/>
      <c r="O17" s="51"/>
      <c r="P17" s="51"/>
    </row>
  </sheetData>
  <autoFilter ref="A4:P16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7" min="6" style="1" width="10"/>
    <col collapsed="false" customWidth="true" hidden="false" outlineLevel="0" max="8" min="8" style="1" width="12"/>
    <col collapsed="false" customWidth="true" hidden="false" outlineLevel="0" max="10" min="9" style="1" width="14"/>
    <col collapsed="false" customWidth="true" hidden="false" outlineLevel="0" max="11" min="11" style="1" width="12"/>
    <col collapsed="false" customWidth="true" hidden="false" outlineLevel="0" max="12" min="12" style="1" width="16"/>
    <col collapsed="false" customWidth="true" hidden="false" outlineLevel="0" max="13" min="13" style="1" width="38"/>
  </cols>
  <sheetData>
    <row r="1" customFormat="false" ht="36" hidden="false" customHeight="true" outlineLevel="0" collapsed="false">
      <c r="A1" s="2" t="s">
        <v>223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224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0" hidden="false" customHeight="true" outlineLevel="0" collapsed="false">
      <c r="A4" s="23" t="s">
        <v>225</v>
      </c>
      <c r="B4" s="23" t="s">
        <v>226</v>
      </c>
      <c r="C4" s="23" t="s">
        <v>227</v>
      </c>
      <c r="D4" s="23" t="s">
        <v>228</v>
      </c>
      <c r="E4" s="23" t="s">
        <v>229</v>
      </c>
      <c r="F4" s="23" t="s">
        <v>230</v>
      </c>
      <c r="G4" s="23" t="s">
        <v>231</v>
      </c>
      <c r="H4" s="23" t="s">
        <v>232</v>
      </c>
      <c r="I4" s="23" t="s">
        <v>5</v>
      </c>
      <c r="J4" s="23" t="s">
        <v>46</v>
      </c>
      <c r="K4" s="23" t="s">
        <v>233</v>
      </c>
      <c r="L4" s="23" t="s">
        <v>234</v>
      </c>
      <c r="M4" s="23" t="s">
        <v>6</v>
      </c>
    </row>
    <row r="5" customFormat="false" ht="31.5" hidden="false" customHeight="true" outlineLevel="0" collapsed="false">
      <c r="A5" s="53" t="n">
        <v>1</v>
      </c>
      <c r="B5" s="24" t="s">
        <v>235</v>
      </c>
      <c r="C5" s="54" t="s">
        <v>59</v>
      </c>
      <c r="D5" s="54" t="s">
        <v>236</v>
      </c>
      <c r="E5" s="55" t="n">
        <v>8500</v>
      </c>
      <c r="F5" s="54" t="n">
        <v>5</v>
      </c>
      <c r="G5" s="56" t="s">
        <v>237</v>
      </c>
      <c r="H5" s="54" t="s">
        <v>238</v>
      </c>
      <c r="I5" s="57" t="s">
        <v>239</v>
      </c>
      <c r="J5" s="54" t="s">
        <v>52</v>
      </c>
      <c r="K5" s="54" t="s">
        <v>240</v>
      </c>
      <c r="L5" s="58" t="n">
        <v>3200</v>
      </c>
      <c r="M5" s="54" t="s">
        <v>241</v>
      </c>
    </row>
    <row r="6" customFormat="false" ht="31.5" hidden="false" customHeight="true" outlineLevel="0" collapsed="false">
      <c r="A6" s="59" t="n">
        <v>2</v>
      </c>
      <c r="B6" s="29" t="s">
        <v>242</v>
      </c>
      <c r="C6" s="60" t="s">
        <v>61</v>
      </c>
      <c r="D6" s="60" t="s">
        <v>243</v>
      </c>
      <c r="E6" s="61" t="n">
        <v>12000</v>
      </c>
      <c r="F6" s="60" t="n">
        <v>10</v>
      </c>
      <c r="G6" s="56" t="s">
        <v>237</v>
      </c>
      <c r="H6" s="60" t="s">
        <v>244</v>
      </c>
      <c r="I6" s="62" t="s">
        <v>245</v>
      </c>
      <c r="J6" s="60" t="s">
        <v>52</v>
      </c>
      <c r="K6" s="60" t="s">
        <v>246</v>
      </c>
      <c r="L6" s="63" t="n">
        <v>0</v>
      </c>
      <c r="M6" s="60" t="s">
        <v>247</v>
      </c>
    </row>
    <row r="7" customFormat="false" ht="31.5" hidden="false" customHeight="true" outlineLevel="0" collapsed="false">
      <c r="A7" s="53" t="n">
        <v>3</v>
      </c>
      <c r="B7" s="24" t="s">
        <v>248</v>
      </c>
      <c r="C7" s="54" t="s">
        <v>61</v>
      </c>
      <c r="D7" s="54" t="s">
        <v>236</v>
      </c>
      <c r="E7" s="55" t="n">
        <v>5500</v>
      </c>
      <c r="F7" s="54" t="n">
        <v>8</v>
      </c>
      <c r="G7" s="57" t="s">
        <v>244</v>
      </c>
      <c r="H7" s="54" t="s">
        <v>244</v>
      </c>
      <c r="I7" s="57" t="s">
        <v>239</v>
      </c>
      <c r="J7" s="54" t="s">
        <v>52</v>
      </c>
      <c r="K7" s="54" t="s">
        <v>240</v>
      </c>
      <c r="L7" s="58" t="n">
        <v>1800</v>
      </c>
      <c r="M7" s="54" t="s">
        <v>249</v>
      </c>
    </row>
    <row r="8" customFormat="false" ht="31.5" hidden="false" customHeight="true" outlineLevel="0" collapsed="false">
      <c r="A8" s="59" t="n">
        <v>4</v>
      </c>
      <c r="B8" s="29" t="s">
        <v>250</v>
      </c>
      <c r="C8" s="60" t="s">
        <v>65</v>
      </c>
      <c r="D8" s="60" t="s">
        <v>236</v>
      </c>
      <c r="E8" s="61" t="n">
        <v>3000</v>
      </c>
      <c r="F8" s="60" t="n">
        <v>3</v>
      </c>
      <c r="G8" s="57" t="s">
        <v>244</v>
      </c>
      <c r="H8" s="60" t="s">
        <v>238</v>
      </c>
      <c r="I8" s="56" t="s">
        <v>251</v>
      </c>
      <c r="J8" s="60" t="s">
        <v>52</v>
      </c>
      <c r="K8" s="60" t="s">
        <v>252</v>
      </c>
      <c r="L8" s="58" t="n">
        <v>3000</v>
      </c>
      <c r="M8" s="60" t="s">
        <v>253</v>
      </c>
    </row>
    <row r="9" customFormat="false" ht="31.5" hidden="false" customHeight="true" outlineLevel="0" collapsed="false">
      <c r="A9" s="53" t="n">
        <v>5</v>
      </c>
      <c r="B9" s="24" t="s">
        <v>254</v>
      </c>
      <c r="C9" s="54" t="s">
        <v>255</v>
      </c>
      <c r="D9" s="54" t="s">
        <v>236</v>
      </c>
      <c r="E9" s="55" t="n">
        <v>1200</v>
      </c>
      <c r="F9" s="54" t="n">
        <v>2</v>
      </c>
      <c r="G9" s="57" t="s">
        <v>244</v>
      </c>
      <c r="H9" s="54" t="s">
        <v>238</v>
      </c>
      <c r="I9" s="56" t="s">
        <v>251</v>
      </c>
      <c r="J9" s="54" t="s">
        <v>52</v>
      </c>
      <c r="K9" s="54" t="s">
        <v>256</v>
      </c>
      <c r="L9" s="58" t="n">
        <v>1200</v>
      </c>
      <c r="M9" s="54" t="s">
        <v>257</v>
      </c>
    </row>
    <row r="10" customFormat="false" ht="31.5" hidden="false" customHeight="true" outlineLevel="0" collapsed="false">
      <c r="A10" s="59" t="n">
        <v>6</v>
      </c>
      <c r="B10" s="29" t="s">
        <v>258</v>
      </c>
      <c r="C10" s="60" t="s">
        <v>259</v>
      </c>
      <c r="D10" s="60" t="s">
        <v>243</v>
      </c>
      <c r="E10" s="61" t="n">
        <v>18000</v>
      </c>
      <c r="F10" s="60" t="n">
        <v>5</v>
      </c>
      <c r="G10" s="56" t="s">
        <v>237</v>
      </c>
      <c r="H10" s="60" t="s">
        <v>238</v>
      </c>
      <c r="I10" s="62" t="s">
        <v>245</v>
      </c>
      <c r="J10" s="60" t="s">
        <v>57</v>
      </c>
      <c r="K10" s="60" t="s">
        <v>260</v>
      </c>
      <c r="L10" s="63" t="n">
        <v>0</v>
      </c>
      <c r="M10" s="60" t="s">
        <v>261</v>
      </c>
    </row>
    <row r="11" customFormat="false" ht="31.5" hidden="false" customHeight="true" outlineLevel="0" collapsed="false">
      <c r="A11" s="53" t="n">
        <v>7</v>
      </c>
      <c r="B11" s="24" t="s">
        <v>262</v>
      </c>
      <c r="C11" s="54" t="s">
        <v>263</v>
      </c>
      <c r="D11" s="54" t="s">
        <v>243</v>
      </c>
      <c r="E11" s="55" t="n">
        <v>4200</v>
      </c>
      <c r="F11" s="54" t="n">
        <v>3</v>
      </c>
      <c r="G11" s="57" t="s">
        <v>244</v>
      </c>
      <c r="H11" s="54" t="s">
        <v>238</v>
      </c>
      <c r="I11" s="57" t="s">
        <v>239</v>
      </c>
      <c r="J11" s="54" t="s">
        <v>264</v>
      </c>
      <c r="K11" s="54" t="s">
        <v>240</v>
      </c>
      <c r="L11" s="58" t="n">
        <v>2100</v>
      </c>
      <c r="M11" s="54" t="s">
        <v>265</v>
      </c>
    </row>
    <row r="12" customFormat="false" ht="31.5" hidden="false" customHeight="true" outlineLevel="0" collapsed="false">
      <c r="A12" s="59" t="n">
        <v>8</v>
      </c>
      <c r="B12" s="29" t="s">
        <v>266</v>
      </c>
      <c r="C12" s="60" t="s">
        <v>267</v>
      </c>
      <c r="D12" s="60" t="s">
        <v>243</v>
      </c>
      <c r="E12" s="61" t="n">
        <v>800</v>
      </c>
      <c r="F12" s="60" t="n">
        <v>4</v>
      </c>
      <c r="G12" s="62" t="s">
        <v>238</v>
      </c>
      <c r="H12" s="60" t="s">
        <v>244</v>
      </c>
      <c r="I12" s="62" t="s">
        <v>245</v>
      </c>
      <c r="J12" s="60" t="s">
        <v>268</v>
      </c>
      <c r="K12" s="60" t="s">
        <v>269</v>
      </c>
      <c r="L12" s="63" t="n">
        <v>0</v>
      </c>
      <c r="M12" s="60" t="s">
        <v>270</v>
      </c>
    </row>
    <row r="13" customFormat="false" ht="31.5" hidden="false" customHeight="true" outlineLevel="0" collapsed="false">
      <c r="A13" s="53" t="n">
        <v>9</v>
      </c>
      <c r="B13" s="24" t="s">
        <v>271</v>
      </c>
      <c r="C13" s="54" t="s">
        <v>255</v>
      </c>
      <c r="D13" s="54" t="s">
        <v>236</v>
      </c>
      <c r="E13" s="55" t="n">
        <v>600</v>
      </c>
      <c r="F13" s="54" t="n">
        <v>1</v>
      </c>
      <c r="G13" s="62" t="s">
        <v>238</v>
      </c>
      <c r="H13" s="54" t="s">
        <v>238</v>
      </c>
      <c r="I13" s="56" t="s">
        <v>251</v>
      </c>
      <c r="J13" s="54" t="s">
        <v>272</v>
      </c>
      <c r="K13" s="54" t="s">
        <v>273</v>
      </c>
      <c r="L13" s="58" t="n">
        <v>600</v>
      </c>
      <c r="M13" s="54" t="s">
        <v>274</v>
      </c>
    </row>
    <row r="14" customFormat="false" ht="31.5" hidden="false" customHeight="true" outlineLevel="0" collapsed="false">
      <c r="A14" s="59" t="n">
        <v>10</v>
      </c>
      <c r="B14" s="29" t="s">
        <v>275</v>
      </c>
      <c r="C14" s="60" t="s">
        <v>65</v>
      </c>
      <c r="D14" s="60" t="s">
        <v>236</v>
      </c>
      <c r="E14" s="64" t="n">
        <v>0</v>
      </c>
      <c r="F14" s="60" t="n">
        <v>5</v>
      </c>
      <c r="G14" s="56" t="s">
        <v>237</v>
      </c>
      <c r="H14" s="60" t="s">
        <v>244</v>
      </c>
      <c r="I14" s="57" t="s">
        <v>239</v>
      </c>
      <c r="J14" s="60" t="s">
        <v>67</v>
      </c>
      <c r="K14" s="60" t="s">
        <v>246</v>
      </c>
      <c r="L14" s="63" t="n">
        <v>0</v>
      </c>
      <c r="M14" s="60" t="s">
        <v>276</v>
      </c>
    </row>
    <row r="15" customFormat="false" ht="31.5" hidden="false" customHeight="true" outlineLevel="0" collapsed="false">
      <c r="A15" s="53" t="n">
        <v>11</v>
      </c>
      <c r="B15" s="24" t="s">
        <v>277</v>
      </c>
      <c r="C15" s="54" t="s">
        <v>278</v>
      </c>
      <c r="D15" s="54" t="s">
        <v>236</v>
      </c>
      <c r="E15" s="55" t="n">
        <v>9000</v>
      </c>
      <c r="F15" s="54" t="n">
        <v>20</v>
      </c>
      <c r="G15" s="56" t="s">
        <v>237</v>
      </c>
      <c r="H15" s="54" t="s">
        <v>237</v>
      </c>
      <c r="I15" s="62" t="s">
        <v>245</v>
      </c>
      <c r="J15" s="54" t="s">
        <v>279</v>
      </c>
      <c r="K15" s="54" t="s">
        <v>280</v>
      </c>
      <c r="L15" s="65" t="n">
        <v>0</v>
      </c>
      <c r="M15" s="54" t="s">
        <v>281</v>
      </c>
    </row>
    <row r="16" customFormat="false" ht="31.5" hidden="false" customHeight="true" outlineLevel="0" collapsed="false">
      <c r="A16" s="59" t="n">
        <v>12</v>
      </c>
      <c r="B16" s="29" t="s">
        <v>282</v>
      </c>
      <c r="C16" s="60" t="s">
        <v>278</v>
      </c>
      <c r="D16" s="60" t="s">
        <v>243</v>
      </c>
      <c r="E16" s="61" t="n">
        <v>6500</v>
      </c>
      <c r="F16" s="60" t="n">
        <v>15</v>
      </c>
      <c r="G16" s="56" t="s">
        <v>237</v>
      </c>
      <c r="H16" s="60" t="s">
        <v>244</v>
      </c>
      <c r="I16" s="62" t="s">
        <v>245</v>
      </c>
      <c r="J16" s="60" t="s">
        <v>52</v>
      </c>
      <c r="K16" s="60" t="s">
        <v>283</v>
      </c>
      <c r="L16" s="63" t="n">
        <v>0</v>
      </c>
      <c r="M16" s="60" t="s">
        <v>284</v>
      </c>
    </row>
    <row r="17" customFormat="false" ht="31.5" hidden="false" customHeight="true" outlineLevel="0" collapsed="false">
      <c r="A17" s="53" t="n">
        <v>13</v>
      </c>
      <c r="B17" s="24" t="s">
        <v>285</v>
      </c>
      <c r="C17" s="54" t="s">
        <v>59</v>
      </c>
      <c r="D17" s="54" t="s">
        <v>236</v>
      </c>
      <c r="E17" s="55" t="n">
        <v>3500</v>
      </c>
      <c r="F17" s="54" t="n">
        <v>5</v>
      </c>
      <c r="G17" s="57" t="s">
        <v>244</v>
      </c>
      <c r="H17" s="54" t="s">
        <v>238</v>
      </c>
      <c r="I17" s="62" t="s">
        <v>245</v>
      </c>
      <c r="J17" s="54" t="s">
        <v>286</v>
      </c>
      <c r="K17" s="54" t="s">
        <v>246</v>
      </c>
      <c r="L17" s="65" t="n">
        <v>0</v>
      </c>
      <c r="M17" s="54" t="s">
        <v>287</v>
      </c>
    </row>
    <row r="18" customFormat="false" ht="31.5" hidden="false" customHeight="true" outlineLevel="0" collapsed="false">
      <c r="A18" s="59" t="n">
        <v>14</v>
      </c>
      <c r="B18" s="29" t="s">
        <v>288</v>
      </c>
      <c r="C18" s="60" t="s">
        <v>289</v>
      </c>
      <c r="D18" s="60" t="s">
        <v>236</v>
      </c>
      <c r="E18" s="61" t="n">
        <v>400</v>
      </c>
      <c r="F18" s="60" t="n">
        <v>2</v>
      </c>
      <c r="G18" s="62" t="s">
        <v>238</v>
      </c>
      <c r="H18" s="60" t="s">
        <v>238</v>
      </c>
      <c r="I18" s="56" t="s">
        <v>251</v>
      </c>
      <c r="J18" s="60" t="s">
        <v>290</v>
      </c>
      <c r="K18" s="60" t="s">
        <v>291</v>
      </c>
      <c r="L18" s="58" t="n">
        <v>400</v>
      </c>
      <c r="M18" s="60" t="s">
        <v>292</v>
      </c>
    </row>
    <row r="19" customFormat="false" ht="31.5" hidden="false" customHeight="true" outlineLevel="0" collapsed="false">
      <c r="A19" s="53" t="n">
        <v>15</v>
      </c>
      <c r="B19" s="24" t="s">
        <v>293</v>
      </c>
      <c r="C19" s="54" t="s">
        <v>61</v>
      </c>
      <c r="D19" s="54" t="s">
        <v>294</v>
      </c>
      <c r="E19" s="55" t="n">
        <v>2000</v>
      </c>
      <c r="F19" s="54" t="n">
        <v>4</v>
      </c>
      <c r="G19" s="57" t="s">
        <v>244</v>
      </c>
      <c r="H19" s="54" t="s">
        <v>244</v>
      </c>
      <c r="I19" s="62" t="s">
        <v>245</v>
      </c>
      <c r="J19" s="54" t="s">
        <v>52</v>
      </c>
      <c r="K19" s="54" t="s">
        <v>295</v>
      </c>
      <c r="L19" s="65" t="n">
        <v>0</v>
      </c>
      <c r="M19" s="54" t="s">
        <v>296</v>
      </c>
    </row>
    <row r="20" customFormat="false" ht="31.5" hidden="false" customHeight="true" outlineLevel="0" collapsed="false">
      <c r="A20" s="59" t="n">
        <v>16</v>
      </c>
      <c r="B20" s="29" t="s">
        <v>297</v>
      </c>
      <c r="C20" s="60" t="s">
        <v>255</v>
      </c>
      <c r="D20" s="60" t="s">
        <v>236</v>
      </c>
      <c r="E20" s="61" t="n">
        <v>300</v>
      </c>
      <c r="F20" s="60" t="n">
        <v>3</v>
      </c>
      <c r="G20" s="62" t="s">
        <v>238</v>
      </c>
      <c r="H20" s="60" t="s">
        <v>238</v>
      </c>
      <c r="I20" s="57" t="s">
        <v>239</v>
      </c>
      <c r="J20" s="60" t="s">
        <v>298</v>
      </c>
      <c r="K20" s="60" t="s">
        <v>240</v>
      </c>
      <c r="L20" s="63" t="n">
        <v>0</v>
      </c>
      <c r="M20" s="60" t="s">
        <v>299</v>
      </c>
    </row>
    <row r="21" customFormat="false" ht="31.5" hidden="false" customHeight="true" outlineLevel="0" collapsed="false">
      <c r="A21" s="53" t="n">
        <v>17</v>
      </c>
      <c r="B21" s="24" t="s">
        <v>300</v>
      </c>
      <c r="C21" s="54" t="s">
        <v>65</v>
      </c>
      <c r="D21" s="54" t="s">
        <v>236</v>
      </c>
      <c r="E21" s="55" t="n">
        <v>2500</v>
      </c>
      <c r="F21" s="54" t="n">
        <v>2</v>
      </c>
      <c r="G21" s="57" t="s">
        <v>244</v>
      </c>
      <c r="H21" s="54" t="s">
        <v>238</v>
      </c>
      <c r="I21" s="62" t="s">
        <v>245</v>
      </c>
      <c r="J21" s="54" t="s">
        <v>52</v>
      </c>
      <c r="K21" s="54" t="s">
        <v>246</v>
      </c>
      <c r="L21" s="65" t="n">
        <v>0</v>
      </c>
      <c r="M21" s="54" t="s">
        <v>301</v>
      </c>
    </row>
    <row r="22" customFormat="false" ht="31.5" hidden="false" customHeight="true" outlineLevel="0" collapsed="false">
      <c r="A22" s="59" t="n">
        <v>18</v>
      </c>
      <c r="B22" s="29" t="s">
        <v>302</v>
      </c>
      <c r="C22" s="60" t="s">
        <v>267</v>
      </c>
      <c r="D22" s="60" t="s">
        <v>243</v>
      </c>
      <c r="E22" s="61" t="n">
        <v>1500</v>
      </c>
      <c r="F22" s="60" t="n">
        <v>3</v>
      </c>
      <c r="G22" s="57" t="s">
        <v>244</v>
      </c>
      <c r="H22" s="60" t="s">
        <v>238</v>
      </c>
      <c r="I22" s="62" t="s">
        <v>245</v>
      </c>
      <c r="J22" s="60" t="s">
        <v>268</v>
      </c>
      <c r="K22" s="60" t="s">
        <v>260</v>
      </c>
      <c r="L22" s="63" t="n">
        <v>0</v>
      </c>
      <c r="M22" s="60" t="s">
        <v>303</v>
      </c>
    </row>
    <row r="23" customFormat="false" ht="31.5" hidden="false" customHeight="true" outlineLevel="0" collapsed="false">
      <c r="A23" s="53" t="n">
        <v>19</v>
      </c>
      <c r="B23" s="24" t="s">
        <v>304</v>
      </c>
      <c r="C23" s="54" t="s">
        <v>305</v>
      </c>
      <c r="D23" s="54" t="s">
        <v>236</v>
      </c>
      <c r="E23" s="66" t="n">
        <v>0</v>
      </c>
      <c r="F23" s="54" t="n">
        <v>3</v>
      </c>
      <c r="G23" s="56" t="s">
        <v>237</v>
      </c>
      <c r="H23" s="54" t="s">
        <v>238</v>
      </c>
      <c r="I23" s="62" t="s">
        <v>245</v>
      </c>
      <c r="J23" s="54" t="s">
        <v>52</v>
      </c>
      <c r="K23" s="54" t="s">
        <v>246</v>
      </c>
      <c r="L23" s="65" t="n">
        <v>0</v>
      </c>
      <c r="M23" s="54" t="s">
        <v>306</v>
      </c>
    </row>
    <row r="24" customFormat="false" ht="31.5" hidden="false" customHeight="true" outlineLevel="0" collapsed="false">
      <c r="A24" s="59" t="n">
        <v>20</v>
      </c>
      <c r="B24" s="29" t="s">
        <v>307</v>
      </c>
      <c r="C24" s="60" t="s">
        <v>65</v>
      </c>
      <c r="D24" s="60" t="s">
        <v>236</v>
      </c>
      <c r="E24" s="64" t="n">
        <v>0</v>
      </c>
      <c r="F24" s="60" t="n">
        <v>5</v>
      </c>
      <c r="G24" s="56" t="s">
        <v>237</v>
      </c>
      <c r="H24" s="60" t="s">
        <v>244</v>
      </c>
      <c r="I24" s="62" t="s">
        <v>245</v>
      </c>
      <c r="J24" s="60" t="s">
        <v>298</v>
      </c>
      <c r="K24" s="60" t="s">
        <v>269</v>
      </c>
      <c r="L24" s="63" t="n">
        <v>0</v>
      </c>
      <c r="M24" s="60" t="s">
        <v>308</v>
      </c>
    </row>
    <row r="25" customFormat="false" ht="19.5" hidden="false" customHeight="true" outlineLevel="0" collapsed="false">
      <c r="A25" s="50" t="s">
        <v>309</v>
      </c>
      <c r="B25" s="67" t="str">
        <f aca="false">COUNTIF(I8:I24,"Completed")&amp;" completed / "&amp;COUNTA(A8:A24)&amp;" total"</f>
        <v>4 completed / 17 total</v>
      </c>
      <c r="C25" s="67"/>
      <c r="D25" s="67"/>
      <c r="E25" s="52" t="n">
        <f aca="false">SUM(E8:E24)</f>
        <v>53500</v>
      </c>
      <c r="F25" s="67"/>
      <c r="G25" s="67"/>
      <c r="H25" s="67"/>
      <c r="I25" s="67"/>
      <c r="J25" s="67"/>
      <c r="K25" s="67"/>
      <c r="L25" s="52" t="n">
        <f aca="false">SUM(L8:L24)</f>
        <v>7300</v>
      </c>
      <c r="M25" s="67"/>
    </row>
  </sheetData>
  <autoFilter ref="A4:M24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8"/>
    <col collapsed="false" customWidth="true" hidden="false" outlineLevel="0" max="4" min="4" style="1" width="9"/>
    <col collapsed="false" customWidth="true" hidden="false" outlineLevel="0" max="5" min="5" style="1" width="20"/>
    <col collapsed="false" customWidth="true" hidden="false" outlineLevel="0" max="6" min="6" style="1" width="12"/>
    <col collapsed="false" customWidth="true" hidden="false" outlineLevel="0" max="7" min="7" style="1" width="38"/>
    <col collapsed="false" customWidth="true" hidden="false" outlineLevel="0" max="8" min="8" style="1" width="30"/>
    <col collapsed="false" customWidth="true" hidden="false" outlineLevel="0" max="10" min="9" style="1" width="14"/>
  </cols>
  <sheetData>
    <row r="1" customFormat="false" ht="36" hidden="false" customHeight="true" outlineLevel="0" collapsed="false">
      <c r="A1" s="2" t="s">
        <v>310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311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7.75" hidden="false" customHeight="true" outlineLevel="0" collapsed="false">
      <c r="A4" s="23" t="s">
        <v>312</v>
      </c>
      <c r="B4" s="23" t="s">
        <v>227</v>
      </c>
      <c r="C4" s="23" t="s">
        <v>243</v>
      </c>
      <c r="D4" s="23" t="s">
        <v>294</v>
      </c>
      <c r="E4" s="23" t="s">
        <v>313</v>
      </c>
      <c r="F4" s="23" t="s">
        <v>314</v>
      </c>
      <c r="G4" s="23" t="s">
        <v>315</v>
      </c>
      <c r="H4" s="23" t="s">
        <v>316</v>
      </c>
      <c r="I4" s="23" t="s">
        <v>317</v>
      </c>
      <c r="J4" s="23" t="s">
        <v>136</v>
      </c>
    </row>
    <row r="5" customFormat="false" ht="27.75" hidden="false" customHeight="true" outlineLevel="0" collapsed="false">
      <c r="A5" s="24" t="s">
        <v>318</v>
      </c>
      <c r="B5" s="54" t="s">
        <v>319</v>
      </c>
      <c r="C5" s="25" t="s">
        <v>320</v>
      </c>
      <c r="D5" s="25" t="s">
        <v>320</v>
      </c>
      <c r="E5" s="54" t="s">
        <v>321</v>
      </c>
      <c r="F5" s="54" t="s">
        <v>322</v>
      </c>
      <c r="G5" s="54" t="s">
        <v>323</v>
      </c>
      <c r="H5" s="54" t="s">
        <v>324</v>
      </c>
      <c r="I5" s="54" t="s">
        <v>325</v>
      </c>
      <c r="J5" s="68" t="s">
        <v>326</v>
      </c>
    </row>
    <row r="6" customFormat="false" ht="27.75" hidden="false" customHeight="true" outlineLevel="0" collapsed="false">
      <c r="A6" s="29" t="s">
        <v>327</v>
      </c>
      <c r="B6" s="60" t="s">
        <v>319</v>
      </c>
      <c r="C6" s="30" t="s">
        <v>320</v>
      </c>
      <c r="D6" s="30" t="s">
        <v>320</v>
      </c>
      <c r="E6" s="60" t="s">
        <v>328</v>
      </c>
      <c r="F6" s="60" t="s">
        <v>322</v>
      </c>
      <c r="G6" s="60" t="s">
        <v>329</v>
      </c>
      <c r="H6" s="60" t="s">
        <v>330</v>
      </c>
      <c r="I6" s="60" t="s">
        <v>325</v>
      </c>
      <c r="J6" s="68" t="s">
        <v>326</v>
      </c>
    </row>
    <row r="7" customFormat="false" ht="27.75" hidden="false" customHeight="true" outlineLevel="0" collapsed="false">
      <c r="A7" s="24" t="s">
        <v>331</v>
      </c>
      <c r="B7" s="54" t="s">
        <v>332</v>
      </c>
      <c r="C7" s="25" t="s">
        <v>320</v>
      </c>
      <c r="D7" s="25" t="s">
        <v>320</v>
      </c>
      <c r="E7" s="54" t="s">
        <v>333</v>
      </c>
      <c r="F7" s="54" t="s">
        <v>322</v>
      </c>
      <c r="G7" s="54" t="s">
        <v>334</v>
      </c>
      <c r="H7" s="54" t="s">
        <v>335</v>
      </c>
      <c r="I7" s="54" t="s">
        <v>325</v>
      </c>
      <c r="J7" s="68" t="s">
        <v>326</v>
      </c>
    </row>
    <row r="8" customFormat="false" ht="27.75" hidden="false" customHeight="true" outlineLevel="0" collapsed="false">
      <c r="A8" s="29" t="s">
        <v>336</v>
      </c>
      <c r="B8" s="60" t="s">
        <v>337</v>
      </c>
      <c r="C8" s="30" t="s">
        <v>320</v>
      </c>
      <c r="D8" s="30" t="s">
        <v>320</v>
      </c>
      <c r="E8" s="60" t="s">
        <v>338</v>
      </c>
      <c r="F8" s="60" t="s">
        <v>322</v>
      </c>
      <c r="G8" s="60" t="s">
        <v>339</v>
      </c>
      <c r="H8" s="60" t="s">
        <v>340</v>
      </c>
      <c r="I8" s="60" t="s">
        <v>325</v>
      </c>
      <c r="J8" s="68" t="s">
        <v>326</v>
      </c>
    </row>
    <row r="9" customFormat="false" ht="27.75" hidden="false" customHeight="true" outlineLevel="0" collapsed="false">
      <c r="A9" s="24" t="s">
        <v>341</v>
      </c>
      <c r="B9" s="54" t="s">
        <v>59</v>
      </c>
      <c r="C9" s="25" t="s">
        <v>320</v>
      </c>
      <c r="D9" s="25" t="s">
        <v>320</v>
      </c>
      <c r="E9" s="54" t="s">
        <v>333</v>
      </c>
      <c r="F9" s="54" t="s">
        <v>342</v>
      </c>
      <c r="G9" s="54" t="s">
        <v>343</v>
      </c>
      <c r="H9" s="54" t="s">
        <v>344</v>
      </c>
      <c r="I9" s="54" t="s">
        <v>345</v>
      </c>
      <c r="J9" s="69" t="s">
        <v>346</v>
      </c>
    </row>
    <row r="10" customFormat="false" ht="27.75" hidden="false" customHeight="true" outlineLevel="0" collapsed="false">
      <c r="A10" s="29" t="s">
        <v>347</v>
      </c>
      <c r="B10" s="60" t="s">
        <v>61</v>
      </c>
      <c r="C10" s="30" t="s">
        <v>320</v>
      </c>
      <c r="D10" s="30" t="s">
        <v>320</v>
      </c>
      <c r="E10" s="60" t="s">
        <v>348</v>
      </c>
      <c r="F10" s="60" t="s">
        <v>342</v>
      </c>
      <c r="G10" s="60" t="s">
        <v>349</v>
      </c>
      <c r="H10" s="60" t="s">
        <v>350</v>
      </c>
      <c r="I10" s="60" t="s">
        <v>325</v>
      </c>
      <c r="J10" s="69" t="s">
        <v>346</v>
      </c>
    </row>
    <row r="11" customFormat="false" ht="27.75" hidden="false" customHeight="true" outlineLevel="0" collapsed="false">
      <c r="A11" s="24" t="s">
        <v>351</v>
      </c>
      <c r="B11" s="54" t="s">
        <v>61</v>
      </c>
      <c r="C11" s="25" t="s">
        <v>320</v>
      </c>
      <c r="D11" s="25" t="s">
        <v>320</v>
      </c>
      <c r="E11" s="54" t="s">
        <v>328</v>
      </c>
      <c r="F11" s="54" t="s">
        <v>342</v>
      </c>
      <c r="G11" s="54" t="s">
        <v>352</v>
      </c>
      <c r="H11" s="54" t="s">
        <v>353</v>
      </c>
      <c r="I11" s="54" t="s">
        <v>345</v>
      </c>
      <c r="J11" s="69" t="s">
        <v>346</v>
      </c>
    </row>
    <row r="12" customFormat="false" ht="27.75" hidden="false" customHeight="true" outlineLevel="0" collapsed="false">
      <c r="A12" s="29" t="s">
        <v>354</v>
      </c>
      <c r="B12" s="60" t="s">
        <v>355</v>
      </c>
      <c r="C12" s="30" t="s">
        <v>320</v>
      </c>
      <c r="D12" s="30" t="s">
        <v>356</v>
      </c>
      <c r="E12" s="60" t="s">
        <v>357</v>
      </c>
      <c r="F12" s="60" t="s">
        <v>342</v>
      </c>
      <c r="G12" s="60" t="s">
        <v>358</v>
      </c>
      <c r="H12" s="60" t="s">
        <v>359</v>
      </c>
      <c r="I12" s="60" t="s">
        <v>345</v>
      </c>
      <c r="J12" s="69" t="s">
        <v>346</v>
      </c>
    </row>
    <row r="13" customFormat="false" ht="27.75" hidden="false" customHeight="true" outlineLevel="0" collapsed="false">
      <c r="A13" s="24" t="s">
        <v>360</v>
      </c>
      <c r="B13" s="54" t="s">
        <v>361</v>
      </c>
      <c r="C13" s="25" t="s">
        <v>320</v>
      </c>
      <c r="D13" s="25" t="s">
        <v>320</v>
      </c>
      <c r="E13" s="54" t="s">
        <v>333</v>
      </c>
      <c r="F13" s="54" t="s">
        <v>342</v>
      </c>
      <c r="G13" s="54" t="s">
        <v>362</v>
      </c>
      <c r="H13" s="54" t="s">
        <v>363</v>
      </c>
      <c r="I13" s="54" t="s">
        <v>325</v>
      </c>
      <c r="J13" s="69" t="s">
        <v>346</v>
      </c>
    </row>
    <row r="14" customFormat="false" ht="27.75" hidden="false" customHeight="true" outlineLevel="0" collapsed="false">
      <c r="A14" s="29" t="s">
        <v>364</v>
      </c>
      <c r="B14" s="60" t="s">
        <v>365</v>
      </c>
      <c r="C14" s="30" t="s">
        <v>320</v>
      </c>
      <c r="D14" s="30" t="s">
        <v>320</v>
      </c>
      <c r="E14" s="60" t="s">
        <v>333</v>
      </c>
      <c r="F14" s="60" t="s">
        <v>342</v>
      </c>
      <c r="G14" s="60" t="s">
        <v>366</v>
      </c>
      <c r="H14" s="60" t="s">
        <v>367</v>
      </c>
      <c r="I14" s="60" t="s">
        <v>345</v>
      </c>
      <c r="J14" s="70" t="s">
        <v>151</v>
      </c>
    </row>
    <row r="15" customFormat="false" ht="27.75" hidden="false" customHeight="true" outlineLevel="0" collapsed="false">
      <c r="A15" s="24" t="s">
        <v>368</v>
      </c>
      <c r="B15" s="54" t="s">
        <v>369</v>
      </c>
      <c r="C15" s="25" t="s">
        <v>320</v>
      </c>
      <c r="D15" s="25" t="s">
        <v>320</v>
      </c>
      <c r="E15" s="54" t="s">
        <v>328</v>
      </c>
      <c r="F15" s="54" t="s">
        <v>370</v>
      </c>
      <c r="G15" s="54" t="s">
        <v>371</v>
      </c>
      <c r="H15" s="54" t="s">
        <v>372</v>
      </c>
      <c r="I15" s="54" t="s">
        <v>373</v>
      </c>
      <c r="J15" s="69" t="s">
        <v>346</v>
      </c>
    </row>
    <row r="16" customFormat="false" ht="27.75" hidden="false" customHeight="true" outlineLevel="0" collapsed="false">
      <c r="A16" s="29" t="s">
        <v>374</v>
      </c>
      <c r="B16" s="60" t="s">
        <v>369</v>
      </c>
      <c r="C16" s="30" t="s">
        <v>320</v>
      </c>
      <c r="D16" s="30" t="s">
        <v>320</v>
      </c>
      <c r="E16" s="60" t="s">
        <v>328</v>
      </c>
      <c r="F16" s="60" t="s">
        <v>370</v>
      </c>
      <c r="G16" s="60" t="s">
        <v>375</v>
      </c>
      <c r="H16" s="60" t="s">
        <v>376</v>
      </c>
      <c r="I16" s="60" t="s">
        <v>373</v>
      </c>
      <c r="J16" s="70" t="s">
        <v>151</v>
      </c>
    </row>
    <row r="17" customFormat="false" ht="27.75" hidden="false" customHeight="true" outlineLevel="0" collapsed="false">
      <c r="A17" s="24" t="s">
        <v>377</v>
      </c>
      <c r="B17" s="54" t="s">
        <v>378</v>
      </c>
      <c r="C17" s="25" t="s">
        <v>320</v>
      </c>
      <c r="D17" s="25" t="s">
        <v>320</v>
      </c>
      <c r="E17" s="54" t="s">
        <v>338</v>
      </c>
      <c r="F17" s="54" t="s">
        <v>370</v>
      </c>
      <c r="G17" s="54" t="s">
        <v>379</v>
      </c>
      <c r="H17" s="54" t="s">
        <v>380</v>
      </c>
      <c r="I17" s="54" t="s">
        <v>373</v>
      </c>
      <c r="J17" s="70" t="s">
        <v>151</v>
      </c>
    </row>
    <row r="18" customFormat="false" ht="27.75" hidden="false" customHeight="true" outlineLevel="0" collapsed="false">
      <c r="A18" s="29" t="s">
        <v>381</v>
      </c>
      <c r="B18" s="60" t="s">
        <v>382</v>
      </c>
      <c r="C18" s="30" t="s">
        <v>320</v>
      </c>
      <c r="D18" s="30" t="s">
        <v>356</v>
      </c>
      <c r="E18" s="60" t="s">
        <v>383</v>
      </c>
      <c r="F18" s="60" t="s">
        <v>322</v>
      </c>
      <c r="G18" s="60" t="s">
        <v>384</v>
      </c>
      <c r="H18" s="60" t="s">
        <v>385</v>
      </c>
      <c r="I18" s="60" t="s">
        <v>325</v>
      </c>
      <c r="J18" s="69" t="s">
        <v>386</v>
      </c>
    </row>
    <row r="19" customFormat="false" ht="27.75" hidden="false" customHeight="true" outlineLevel="0" collapsed="false">
      <c r="A19" s="24" t="s">
        <v>387</v>
      </c>
      <c r="B19" s="54" t="s">
        <v>382</v>
      </c>
      <c r="C19" s="25" t="s">
        <v>320</v>
      </c>
      <c r="D19" s="25" t="s">
        <v>356</v>
      </c>
      <c r="E19" s="54" t="s">
        <v>388</v>
      </c>
      <c r="F19" s="54" t="s">
        <v>322</v>
      </c>
      <c r="G19" s="54" t="s">
        <v>389</v>
      </c>
      <c r="H19" s="54" t="s">
        <v>390</v>
      </c>
      <c r="I19" s="54" t="s">
        <v>325</v>
      </c>
      <c r="J19" s="69" t="s">
        <v>391</v>
      </c>
    </row>
    <row r="20" customFormat="false" ht="27.75" hidden="false" customHeight="true" outlineLevel="0" collapsed="false">
      <c r="A20" s="29" t="s">
        <v>392</v>
      </c>
      <c r="B20" s="60" t="s">
        <v>382</v>
      </c>
      <c r="C20" s="30" t="s">
        <v>320</v>
      </c>
      <c r="D20" s="30" t="s">
        <v>356</v>
      </c>
      <c r="E20" s="60" t="s">
        <v>393</v>
      </c>
      <c r="F20" s="60" t="s">
        <v>322</v>
      </c>
      <c r="G20" s="60" t="s">
        <v>394</v>
      </c>
      <c r="H20" s="60" t="s">
        <v>395</v>
      </c>
      <c r="I20" s="60" t="s">
        <v>325</v>
      </c>
      <c r="J20" s="69" t="s">
        <v>396</v>
      </c>
    </row>
    <row r="21" customFormat="false" ht="27.75" hidden="false" customHeight="true" outlineLevel="0" collapsed="false">
      <c r="A21" s="24" t="s">
        <v>397</v>
      </c>
      <c r="B21" s="54" t="s">
        <v>398</v>
      </c>
      <c r="C21" s="25" t="s">
        <v>320</v>
      </c>
      <c r="D21" s="25" t="s">
        <v>320</v>
      </c>
      <c r="E21" s="54" t="s">
        <v>328</v>
      </c>
      <c r="F21" s="54" t="s">
        <v>370</v>
      </c>
      <c r="G21" s="54" t="s">
        <v>399</v>
      </c>
      <c r="H21" s="54" t="s">
        <v>400</v>
      </c>
      <c r="I21" s="54" t="s">
        <v>373</v>
      </c>
      <c r="J21" s="70" t="s">
        <v>151</v>
      </c>
    </row>
    <row r="22" customFormat="false" ht="27.75" hidden="false" customHeight="true" outlineLevel="0" collapsed="false">
      <c r="A22" s="29" t="s">
        <v>401</v>
      </c>
      <c r="B22" s="60" t="s">
        <v>402</v>
      </c>
      <c r="C22" s="30" t="s">
        <v>320</v>
      </c>
      <c r="D22" s="30" t="s">
        <v>320</v>
      </c>
      <c r="E22" s="60" t="s">
        <v>333</v>
      </c>
      <c r="F22" s="60" t="s">
        <v>370</v>
      </c>
      <c r="G22" s="60" t="s">
        <v>403</v>
      </c>
      <c r="H22" s="60" t="s">
        <v>404</v>
      </c>
      <c r="I22" s="60" t="s">
        <v>373</v>
      </c>
      <c r="J22" s="70" t="s">
        <v>151</v>
      </c>
    </row>
    <row r="23" customFormat="false" ht="27.75" hidden="false" customHeight="true" outlineLevel="0" collapsed="false">
      <c r="A23" s="24" t="s">
        <v>405</v>
      </c>
      <c r="B23" s="54" t="s">
        <v>406</v>
      </c>
      <c r="C23" s="25" t="s">
        <v>320</v>
      </c>
      <c r="D23" s="25" t="s">
        <v>320</v>
      </c>
      <c r="E23" s="54" t="s">
        <v>328</v>
      </c>
      <c r="F23" s="54" t="s">
        <v>370</v>
      </c>
      <c r="G23" s="54" t="s">
        <v>407</v>
      </c>
      <c r="H23" s="54" t="s">
        <v>408</v>
      </c>
      <c r="I23" s="54" t="s">
        <v>409</v>
      </c>
      <c r="J23" s="71" t="s">
        <v>155</v>
      </c>
    </row>
    <row r="24" customFormat="false" ht="27.75" hidden="false" customHeight="true" outlineLevel="0" collapsed="false">
      <c r="A24" s="29" t="s">
        <v>410</v>
      </c>
      <c r="B24" s="60" t="s">
        <v>411</v>
      </c>
      <c r="C24" s="30" t="s">
        <v>320</v>
      </c>
      <c r="D24" s="30" t="s">
        <v>320</v>
      </c>
      <c r="E24" s="60" t="s">
        <v>412</v>
      </c>
      <c r="F24" s="60" t="s">
        <v>370</v>
      </c>
      <c r="G24" s="60" t="s">
        <v>413</v>
      </c>
      <c r="H24" s="60" t="s">
        <v>414</v>
      </c>
      <c r="I24" s="60" t="s">
        <v>409</v>
      </c>
      <c r="J24" s="71" t="s">
        <v>155</v>
      </c>
    </row>
  </sheetData>
  <autoFilter ref="A4:J24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42"/>
    <col collapsed="false" customWidth="true" hidden="false" outlineLevel="0" max="6" min="6" style="1" width="12"/>
    <col collapsed="false" customWidth="true" hidden="false" outlineLevel="0" max="7" min="7" style="1" width="14"/>
  </cols>
  <sheetData>
    <row r="1" customFormat="false" ht="36" hidden="false" customHeight="true" outlineLevel="0" collapsed="false">
      <c r="A1" s="2" t="s">
        <v>415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416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8" hidden="false" customHeight="true" outlineLevel="0" collapsed="false">
      <c r="A4" s="72" t="s">
        <v>417</v>
      </c>
      <c r="B4" s="72"/>
      <c r="C4" s="72"/>
      <c r="D4" s="72"/>
      <c r="E4" s="72"/>
      <c r="F4" s="72"/>
    </row>
    <row r="5" customFormat="false" ht="21.75" hidden="false" customHeight="true" outlineLevel="0" collapsed="false">
      <c r="A5" s="23" t="s">
        <v>418</v>
      </c>
      <c r="B5" s="23" t="s">
        <v>419</v>
      </c>
      <c r="C5" s="23" t="s">
        <v>420</v>
      </c>
      <c r="D5" s="23" t="s">
        <v>421</v>
      </c>
      <c r="E5" s="23" t="s">
        <v>422</v>
      </c>
      <c r="F5" s="23" t="s">
        <v>423</v>
      </c>
    </row>
    <row r="6" customFormat="false" ht="19.5" hidden="false" customHeight="true" outlineLevel="0" collapsed="false">
      <c r="A6" s="24" t="s">
        <v>424</v>
      </c>
      <c r="B6" s="54" t="s">
        <v>425</v>
      </c>
      <c r="C6" s="34" t="s">
        <v>426</v>
      </c>
      <c r="D6" s="54" t="s">
        <v>368</v>
      </c>
      <c r="E6" s="54" t="s">
        <v>427</v>
      </c>
      <c r="F6" s="54" t="s">
        <v>428</v>
      </c>
    </row>
    <row r="7" customFormat="false" ht="19.5" hidden="false" customHeight="true" outlineLevel="0" collapsed="false">
      <c r="A7" s="29" t="s">
        <v>429</v>
      </c>
      <c r="B7" s="60" t="s">
        <v>430</v>
      </c>
      <c r="C7" s="34" t="s">
        <v>426</v>
      </c>
      <c r="D7" s="60" t="s">
        <v>368</v>
      </c>
      <c r="E7" s="60" t="s">
        <v>431</v>
      </c>
      <c r="F7" s="60" t="s">
        <v>432</v>
      </c>
    </row>
    <row r="8" customFormat="false" ht="19.5" hidden="false" customHeight="true" outlineLevel="0" collapsed="false">
      <c r="A8" s="24" t="s">
        <v>433</v>
      </c>
      <c r="B8" s="54" t="s">
        <v>434</v>
      </c>
      <c r="C8" s="34" t="s">
        <v>426</v>
      </c>
      <c r="D8" s="54" t="s">
        <v>368</v>
      </c>
      <c r="E8" s="54" t="s">
        <v>435</v>
      </c>
      <c r="F8" s="54" t="s">
        <v>436</v>
      </c>
    </row>
    <row r="9" customFormat="false" ht="19.5" hidden="false" customHeight="true" outlineLevel="0" collapsed="false">
      <c r="A9" s="29" t="s">
        <v>437</v>
      </c>
      <c r="B9" s="60" t="s">
        <v>438</v>
      </c>
      <c r="C9" s="34" t="s">
        <v>426</v>
      </c>
      <c r="D9" s="60" t="s">
        <v>368</v>
      </c>
      <c r="E9" s="60" t="s">
        <v>439</v>
      </c>
      <c r="F9" s="60" t="s">
        <v>440</v>
      </c>
    </row>
    <row r="10" customFormat="false" ht="19.5" hidden="false" customHeight="true" outlineLevel="0" collapsed="false">
      <c r="A10" s="24" t="s">
        <v>441</v>
      </c>
      <c r="B10" s="54" t="s">
        <v>442</v>
      </c>
      <c r="C10" s="73" t="s">
        <v>443</v>
      </c>
      <c r="D10" s="54" t="s">
        <v>444</v>
      </c>
      <c r="E10" s="54" t="s">
        <v>445</v>
      </c>
      <c r="F10" s="54" t="s">
        <v>446</v>
      </c>
    </row>
    <row r="11" customFormat="false" ht="19.5" hidden="false" customHeight="true" outlineLevel="0" collapsed="false">
      <c r="A11" s="29" t="s">
        <v>447</v>
      </c>
      <c r="B11" s="60" t="s">
        <v>448</v>
      </c>
      <c r="C11" s="73" t="s">
        <v>443</v>
      </c>
      <c r="D11" s="60" t="s">
        <v>449</v>
      </c>
      <c r="E11" s="60" t="s">
        <v>450</v>
      </c>
      <c r="F11" s="60" t="s">
        <v>451</v>
      </c>
    </row>
    <row r="12" customFormat="false" ht="19.5" hidden="false" customHeight="true" outlineLevel="0" collapsed="false">
      <c r="A12" s="24" t="s">
        <v>452</v>
      </c>
      <c r="B12" s="54" t="s">
        <v>453</v>
      </c>
      <c r="C12" s="73" t="s">
        <v>443</v>
      </c>
      <c r="D12" s="54" t="s">
        <v>454</v>
      </c>
      <c r="E12" s="54" t="s">
        <v>455</v>
      </c>
      <c r="F12" s="54" t="s">
        <v>456</v>
      </c>
    </row>
    <row r="13" customFormat="false" ht="19.5" hidden="false" customHeight="true" outlineLevel="0" collapsed="false">
      <c r="A13" s="29" t="s">
        <v>457</v>
      </c>
      <c r="B13" s="60" t="s">
        <v>458</v>
      </c>
      <c r="C13" s="73" t="s">
        <v>443</v>
      </c>
      <c r="D13" s="60" t="s">
        <v>459</v>
      </c>
      <c r="E13" s="60" t="s">
        <v>460</v>
      </c>
      <c r="F13" s="60" t="s">
        <v>461</v>
      </c>
    </row>
    <row r="14" customFormat="false" ht="19.5" hidden="false" customHeight="true" outlineLevel="0" collapsed="false">
      <c r="A14" s="24" t="s">
        <v>462</v>
      </c>
      <c r="B14" s="54" t="s">
        <v>463</v>
      </c>
      <c r="C14" s="74" t="s">
        <v>464</v>
      </c>
      <c r="D14" s="54" t="s">
        <v>454</v>
      </c>
      <c r="E14" s="54" t="s">
        <v>465</v>
      </c>
      <c r="F14" s="54" t="s">
        <v>466</v>
      </c>
    </row>
    <row r="15" customFormat="false" ht="19.5" hidden="false" customHeight="true" outlineLevel="0" collapsed="false">
      <c r="A15" s="29" t="s">
        <v>467</v>
      </c>
      <c r="B15" s="60" t="s">
        <v>468</v>
      </c>
      <c r="C15" s="74" t="s">
        <v>464</v>
      </c>
      <c r="D15" s="60" t="s">
        <v>454</v>
      </c>
      <c r="E15" s="60" t="s">
        <v>469</v>
      </c>
      <c r="F15" s="60" t="s">
        <v>470</v>
      </c>
    </row>
    <row r="17" customFormat="false" ht="18" hidden="false" customHeight="true" outlineLevel="0" collapsed="false">
      <c r="A17" s="72" t="s">
        <v>471</v>
      </c>
      <c r="B17" s="72"/>
      <c r="C17" s="72"/>
      <c r="D17" s="72"/>
      <c r="E17" s="72"/>
      <c r="F17" s="72"/>
      <c r="G17" s="72"/>
    </row>
    <row r="18" customFormat="false" ht="15" hidden="false" customHeight="true" outlineLevel="0" collapsed="false">
      <c r="A18" s="23" t="s">
        <v>472</v>
      </c>
      <c r="B18" s="23" t="s">
        <v>473</v>
      </c>
      <c r="C18" s="23" t="s">
        <v>474</v>
      </c>
      <c r="D18" s="23" t="s">
        <v>475</v>
      </c>
      <c r="E18" s="23" t="s">
        <v>422</v>
      </c>
      <c r="F18" s="23" t="s">
        <v>476</v>
      </c>
      <c r="G18" s="23" t="s">
        <v>5</v>
      </c>
    </row>
    <row r="19" customFormat="false" ht="21.75" hidden="false" customHeight="true" outlineLevel="0" collapsed="false">
      <c r="A19" s="24" t="s">
        <v>477</v>
      </c>
      <c r="B19" s="54" t="s">
        <v>368</v>
      </c>
      <c r="C19" s="54" t="s">
        <v>478</v>
      </c>
      <c r="D19" s="54" t="s">
        <v>479</v>
      </c>
      <c r="E19" s="54" t="s">
        <v>480</v>
      </c>
      <c r="F19" s="28" t="s">
        <v>326</v>
      </c>
      <c r="G19" s="34" t="s">
        <v>481</v>
      </c>
    </row>
    <row r="20" customFormat="false" ht="21.75" hidden="false" customHeight="true" outlineLevel="0" collapsed="false">
      <c r="A20" s="29" t="s">
        <v>482</v>
      </c>
      <c r="B20" s="60" t="s">
        <v>368</v>
      </c>
      <c r="C20" s="60" t="s">
        <v>478</v>
      </c>
      <c r="D20" s="60" t="s">
        <v>479</v>
      </c>
      <c r="E20" s="60" t="s">
        <v>483</v>
      </c>
      <c r="F20" s="28" t="s">
        <v>326</v>
      </c>
      <c r="G20" s="34" t="s">
        <v>481</v>
      </c>
    </row>
    <row r="21" customFormat="false" ht="21.75" hidden="false" customHeight="true" outlineLevel="0" collapsed="false">
      <c r="A21" s="24" t="s">
        <v>484</v>
      </c>
      <c r="B21" s="54" t="s">
        <v>368</v>
      </c>
      <c r="C21" s="54" t="s">
        <v>485</v>
      </c>
      <c r="D21" s="54" t="s">
        <v>479</v>
      </c>
      <c r="E21" s="54" t="s">
        <v>486</v>
      </c>
      <c r="F21" s="28" t="s">
        <v>326</v>
      </c>
      <c r="G21" s="73" t="s">
        <v>487</v>
      </c>
    </row>
    <row r="22" customFormat="false" ht="21.75" hidden="false" customHeight="true" outlineLevel="0" collapsed="false">
      <c r="A22" s="29" t="s">
        <v>488</v>
      </c>
      <c r="B22" s="60" t="s">
        <v>368</v>
      </c>
      <c r="C22" s="60" t="s">
        <v>478</v>
      </c>
      <c r="D22" s="60" t="s">
        <v>479</v>
      </c>
      <c r="E22" s="60" t="s">
        <v>489</v>
      </c>
      <c r="F22" s="44" t="s">
        <v>346</v>
      </c>
      <c r="G22" s="34" t="s">
        <v>481</v>
      </c>
    </row>
    <row r="23" customFormat="false" ht="21.75" hidden="false" customHeight="true" outlineLevel="0" collapsed="false">
      <c r="A23" s="24" t="s">
        <v>490</v>
      </c>
      <c r="B23" s="54" t="s">
        <v>368</v>
      </c>
      <c r="C23" s="54" t="s">
        <v>491</v>
      </c>
      <c r="D23" s="54" t="s">
        <v>479</v>
      </c>
      <c r="E23" s="54" t="s">
        <v>492</v>
      </c>
      <c r="F23" s="44" t="s">
        <v>346</v>
      </c>
      <c r="G23" s="34" t="s">
        <v>481</v>
      </c>
    </row>
    <row r="24" customFormat="false" ht="21.75" hidden="false" customHeight="true" outlineLevel="0" collapsed="false">
      <c r="A24" s="29" t="s">
        <v>493</v>
      </c>
      <c r="B24" s="60" t="s">
        <v>368</v>
      </c>
      <c r="C24" s="60" t="s">
        <v>485</v>
      </c>
      <c r="D24" s="60" t="s">
        <v>494</v>
      </c>
      <c r="E24" s="60" t="s">
        <v>495</v>
      </c>
      <c r="F24" s="73" t="s">
        <v>151</v>
      </c>
      <c r="G24" s="75" t="s">
        <v>496</v>
      </c>
    </row>
    <row r="25" customFormat="false" ht="21.75" hidden="false" customHeight="true" outlineLevel="0" collapsed="false">
      <c r="A25" s="24" t="s">
        <v>497</v>
      </c>
      <c r="B25" s="54" t="s">
        <v>368</v>
      </c>
      <c r="C25" s="54" t="s">
        <v>498</v>
      </c>
      <c r="D25" s="54" t="s">
        <v>494</v>
      </c>
      <c r="E25" s="54" t="s">
        <v>499</v>
      </c>
      <c r="F25" s="73" t="s">
        <v>151</v>
      </c>
      <c r="G25" s="75" t="s">
        <v>496</v>
      </c>
    </row>
    <row r="26" customFormat="false" ht="21.75" hidden="false" customHeight="true" outlineLevel="0" collapsed="false">
      <c r="A26" s="29" t="s">
        <v>500</v>
      </c>
      <c r="B26" s="60" t="s">
        <v>368</v>
      </c>
      <c r="C26" s="60" t="s">
        <v>478</v>
      </c>
      <c r="D26" s="60" t="s">
        <v>494</v>
      </c>
      <c r="E26" s="60" t="s">
        <v>501</v>
      </c>
      <c r="F26" s="76" t="s">
        <v>155</v>
      </c>
      <c r="G26" s="75" t="s">
        <v>496</v>
      </c>
    </row>
    <row r="27" customFormat="false" ht="21.75" hidden="false" customHeight="true" outlineLevel="0" collapsed="false">
      <c r="A27" s="24" t="s">
        <v>502</v>
      </c>
      <c r="B27" s="54" t="s">
        <v>368</v>
      </c>
      <c r="C27" s="54" t="s">
        <v>503</v>
      </c>
      <c r="D27" s="54" t="s">
        <v>494</v>
      </c>
      <c r="E27" s="54" t="s">
        <v>504</v>
      </c>
      <c r="F27" s="73" t="s">
        <v>151</v>
      </c>
      <c r="G27" s="75" t="s">
        <v>496</v>
      </c>
    </row>
    <row r="28" customFormat="false" ht="21.75" hidden="false" customHeight="true" outlineLevel="0" collapsed="false">
      <c r="A28" s="29" t="s">
        <v>505</v>
      </c>
      <c r="B28" s="60" t="s">
        <v>506</v>
      </c>
      <c r="C28" s="60" t="s">
        <v>485</v>
      </c>
      <c r="D28" s="60" t="s">
        <v>507</v>
      </c>
      <c r="E28" s="60" t="s">
        <v>508</v>
      </c>
      <c r="F28" s="28" t="s">
        <v>326</v>
      </c>
      <c r="G28" s="34" t="s">
        <v>481</v>
      </c>
    </row>
    <row r="29" customFormat="false" ht="21.75" hidden="false" customHeight="true" outlineLevel="0" collapsed="false">
      <c r="A29" s="24" t="s">
        <v>509</v>
      </c>
      <c r="B29" s="54" t="s">
        <v>506</v>
      </c>
      <c r="C29" s="54" t="s">
        <v>485</v>
      </c>
      <c r="D29" s="54" t="s">
        <v>510</v>
      </c>
      <c r="E29" s="54" t="s">
        <v>511</v>
      </c>
      <c r="F29" s="44" t="s">
        <v>346</v>
      </c>
      <c r="G29" s="34" t="s">
        <v>481</v>
      </c>
    </row>
  </sheetData>
  <mergeCells count="4">
    <mergeCell ref="A1:J1"/>
    <mergeCell ref="A2:J2"/>
    <mergeCell ref="A4:F4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4"/>
  </cols>
  <sheetData>
    <row r="1" customFormat="false" ht="36" hidden="false" customHeight="true" outlineLevel="0" collapsed="false">
      <c r="A1" s="2" t="s">
        <v>512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513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72" t="s">
        <v>514</v>
      </c>
      <c r="B4" s="72"/>
      <c r="C4" s="72"/>
      <c r="D4" s="72"/>
      <c r="E4" s="72"/>
      <c r="F4" s="72"/>
    </row>
    <row r="5" customFormat="false" ht="21.75" hidden="false" customHeight="true" outlineLevel="0" collapsed="false">
      <c r="A5" s="23" t="s">
        <v>515</v>
      </c>
      <c r="B5" s="23" t="s">
        <v>516</v>
      </c>
      <c r="C5" s="23" t="s">
        <v>517</v>
      </c>
      <c r="D5" s="23" t="s">
        <v>518</v>
      </c>
      <c r="E5" s="23" t="s">
        <v>519</v>
      </c>
      <c r="F5" s="23" t="s">
        <v>520</v>
      </c>
    </row>
    <row r="6" customFormat="false" ht="18" hidden="false" customHeight="true" outlineLevel="0" collapsed="false">
      <c r="A6" s="24" t="s">
        <v>521</v>
      </c>
      <c r="B6" s="77" t="n">
        <v>40</v>
      </c>
      <c r="C6" s="40" t="n">
        <v>18000</v>
      </c>
      <c r="D6" s="40" t="n">
        <f aca="false">B6*C6</f>
        <v>720000</v>
      </c>
      <c r="E6" s="77" t="n">
        <v>5</v>
      </c>
      <c r="F6" s="40" t="n">
        <f aca="false">D6/(E6*12)</f>
        <v>12000</v>
      </c>
    </row>
    <row r="7" customFormat="false" ht="18" hidden="false" customHeight="true" outlineLevel="0" collapsed="false">
      <c r="A7" s="29" t="s">
        <v>522</v>
      </c>
      <c r="B7" s="78" t="n">
        <v>6</v>
      </c>
      <c r="C7" s="45" t="n">
        <v>22000</v>
      </c>
      <c r="D7" s="45" t="n">
        <f aca="false">B7*C7</f>
        <v>132000</v>
      </c>
      <c r="E7" s="78" t="n">
        <v>5</v>
      </c>
      <c r="F7" s="45" t="n">
        <f aca="false">D7/(E7*12)</f>
        <v>2200</v>
      </c>
    </row>
    <row r="8" customFormat="false" ht="18" hidden="false" customHeight="true" outlineLevel="0" collapsed="false">
      <c r="A8" s="24" t="s">
        <v>523</v>
      </c>
      <c r="B8" s="77" t="n">
        <v>12</v>
      </c>
      <c r="C8" s="40" t="n">
        <v>15000</v>
      </c>
      <c r="D8" s="40" t="n">
        <f aca="false">B8*C8</f>
        <v>180000</v>
      </c>
      <c r="E8" s="77" t="n">
        <v>5</v>
      </c>
      <c r="F8" s="40" t="n">
        <f aca="false">D8/(E8*12)</f>
        <v>3000</v>
      </c>
    </row>
    <row r="9" customFormat="false" ht="18" hidden="false" customHeight="true" outlineLevel="0" collapsed="false">
      <c r="A9" s="29" t="s">
        <v>524</v>
      </c>
      <c r="B9" s="78" t="n">
        <v>8</v>
      </c>
      <c r="C9" s="45" t="n">
        <v>12000</v>
      </c>
      <c r="D9" s="45" t="n">
        <f aca="false">B9*C9</f>
        <v>96000</v>
      </c>
      <c r="E9" s="78" t="n">
        <v>5</v>
      </c>
      <c r="F9" s="45" t="n">
        <f aca="false">D9/(E9*12)</f>
        <v>1600</v>
      </c>
    </row>
    <row r="10" customFormat="false" ht="18" hidden="false" customHeight="true" outlineLevel="0" collapsed="false">
      <c r="A10" s="24" t="s">
        <v>525</v>
      </c>
      <c r="B10" s="77" t="n">
        <v>4</v>
      </c>
      <c r="C10" s="40" t="n">
        <v>25000</v>
      </c>
      <c r="D10" s="40" t="n">
        <f aca="false">B10*C10</f>
        <v>100000</v>
      </c>
      <c r="E10" s="77" t="n">
        <v>5</v>
      </c>
      <c r="F10" s="40" t="n">
        <f aca="false">D10/(E10*12)</f>
        <v>1666.66666666667</v>
      </c>
    </row>
    <row r="11" customFormat="false" ht="18" hidden="false" customHeight="true" outlineLevel="0" collapsed="false">
      <c r="A11" s="29" t="s">
        <v>526</v>
      </c>
      <c r="B11" s="78" t="n">
        <v>4</v>
      </c>
      <c r="C11" s="45" t="n">
        <v>45000</v>
      </c>
      <c r="D11" s="45" t="n">
        <f aca="false">B11*C11</f>
        <v>180000</v>
      </c>
      <c r="E11" s="78" t="n">
        <v>5</v>
      </c>
      <c r="F11" s="45" t="n">
        <f aca="false">D11/(E11*12)</f>
        <v>3000</v>
      </c>
    </row>
    <row r="12" customFormat="false" ht="18" hidden="false" customHeight="true" outlineLevel="0" collapsed="false">
      <c r="A12" s="24" t="s">
        <v>527</v>
      </c>
      <c r="B12" s="77" t="n">
        <v>46</v>
      </c>
      <c r="C12" s="40" t="n">
        <v>500</v>
      </c>
      <c r="D12" s="40" t="n">
        <f aca="false">B12*C12</f>
        <v>23000</v>
      </c>
      <c r="E12" s="77" t="n">
        <v>5</v>
      </c>
      <c r="F12" s="40" t="n">
        <f aca="false">D12/(E12*12)</f>
        <v>383.333333333333</v>
      </c>
    </row>
    <row r="13" customFormat="false" ht="18" hidden="false" customHeight="true" outlineLevel="0" collapsed="false">
      <c r="A13" s="29" t="s">
        <v>528</v>
      </c>
      <c r="B13" s="78" t="n">
        <v>8</v>
      </c>
      <c r="C13" s="45" t="n">
        <v>4000</v>
      </c>
      <c r="D13" s="45" t="n">
        <f aca="false">B13*C13</f>
        <v>32000</v>
      </c>
      <c r="E13" s="78" t="n">
        <v>5</v>
      </c>
      <c r="F13" s="45" t="n">
        <f aca="false">D13/(E13*12)</f>
        <v>533.333333333333</v>
      </c>
    </row>
    <row r="14" customFormat="false" ht="18" hidden="false" customHeight="true" outlineLevel="0" collapsed="false">
      <c r="A14" s="24" t="s">
        <v>529</v>
      </c>
      <c r="B14" s="77" t="n">
        <v>4</v>
      </c>
      <c r="C14" s="40" t="n">
        <v>8000</v>
      </c>
      <c r="D14" s="40" t="n">
        <f aca="false">B14*C14</f>
        <v>32000</v>
      </c>
      <c r="E14" s="77" t="n">
        <v>5</v>
      </c>
      <c r="F14" s="40" t="n">
        <f aca="false">D14/(E14*12)</f>
        <v>533.333333333333</v>
      </c>
    </row>
    <row r="15" customFormat="false" ht="18" hidden="false" customHeight="true" outlineLevel="0" collapsed="false">
      <c r="A15" s="29" t="s">
        <v>530</v>
      </c>
      <c r="B15" s="78" t="n">
        <v>1</v>
      </c>
      <c r="C15" s="45" t="n">
        <v>15000</v>
      </c>
      <c r="D15" s="45" t="n">
        <f aca="false">B15*C15</f>
        <v>15000</v>
      </c>
      <c r="E15" s="78" t="n">
        <v>5</v>
      </c>
      <c r="F15" s="45" t="n">
        <f aca="false">D15/(E15*12)</f>
        <v>250</v>
      </c>
    </row>
    <row r="16" customFormat="false" ht="19.5" hidden="false" customHeight="true" outlineLevel="0" collapsed="false">
      <c r="A16" s="50" t="s">
        <v>531</v>
      </c>
      <c r="B16" s="51"/>
      <c r="C16" s="51"/>
      <c r="D16" s="52" t="n">
        <f aca="false">SUM(D6:D15)</f>
        <v>1510000</v>
      </c>
      <c r="E16" s="51"/>
      <c r="F16" s="52" t="n">
        <f aca="false">SUM(F6:F15)</f>
        <v>25166.6666666667</v>
      </c>
    </row>
    <row r="18" customFormat="false" ht="15" hidden="false" customHeight="true" outlineLevel="0" collapsed="false">
      <c r="A18" s="72" t="s">
        <v>532</v>
      </c>
      <c r="B18" s="72"/>
      <c r="C18" s="72"/>
      <c r="D18" s="72"/>
      <c r="E18" s="72"/>
      <c r="F18" s="72"/>
    </row>
    <row r="19" customFormat="false" ht="21.75" hidden="false" customHeight="true" outlineLevel="0" collapsed="false">
      <c r="A19" s="23" t="s">
        <v>533</v>
      </c>
      <c r="B19" s="23" t="s">
        <v>534</v>
      </c>
      <c r="C19" s="23" t="s">
        <v>520</v>
      </c>
      <c r="D19" s="23" t="s">
        <v>535</v>
      </c>
      <c r="E19" s="23" t="s">
        <v>536</v>
      </c>
      <c r="F19" s="23" t="s">
        <v>6</v>
      </c>
    </row>
    <row r="20" customFormat="false" ht="18" hidden="false" customHeight="true" outlineLevel="0" collapsed="false">
      <c r="A20" s="24" t="s">
        <v>537</v>
      </c>
      <c r="B20" s="54" t="s">
        <v>538</v>
      </c>
      <c r="C20" s="40" t="n">
        <v>18000</v>
      </c>
      <c r="D20" s="40" t="n">
        <f aca="false">C20*12</f>
        <v>216000</v>
      </c>
      <c r="E20" s="79" t="n">
        <f aca="false">C20/SUM(C20:C31)</f>
        <v>0.199335548172757</v>
      </c>
      <c r="F20" s="77"/>
    </row>
    <row r="21" customFormat="false" ht="18" hidden="false" customHeight="true" outlineLevel="0" collapsed="false">
      <c r="A21" s="29" t="s">
        <v>539</v>
      </c>
      <c r="B21" s="60" t="s">
        <v>540</v>
      </c>
      <c r="C21" s="45" t="n">
        <v>9500</v>
      </c>
      <c r="D21" s="45" t="n">
        <f aca="false">C21*12</f>
        <v>114000</v>
      </c>
      <c r="E21" s="80" t="n">
        <f aca="false">C21/SUM(C20:C31)</f>
        <v>0.105204872646733</v>
      </c>
      <c r="F21" s="78"/>
    </row>
    <row r="22" customFormat="false" ht="18" hidden="false" customHeight="true" outlineLevel="0" collapsed="false">
      <c r="A22" s="24" t="s">
        <v>541</v>
      </c>
      <c r="B22" s="54" t="s">
        <v>542</v>
      </c>
      <c r="C22" s="40" t="n">
        <v>3300</v>
      </c>
      <c r="D22" s="40" t="n">
        <f aca="false">C22*12</f>
        <v>39600</v>
      </c>
      <c r="E22" s="79" t="n">
        <f aca="false">C22/SUM(C20:C31)</f>
        <v>0.0365448504983389</v>
      </c>
      <c r="F22" s="77"/>
    </row>
    <row r="23" customFormat="false" ht="18" hidden="false" customHeight="true" outlineLevel="0" collapsed="false">
      <c r="A23" s="29" t="s">
        <v>543</v>
      </c>
      <c r="B23" s="60" t="s">
        <v>544</v>
      </c>
      <c r="C23" s="45" t="n">
        <v>4200</v>
      </c>
      <c r="D23" s="45" t="n">
        <f aca="false">C23*12</f>
        <v>50400</v>
      </c>
      <c r="E23" s="80" t="n">
        <f aca="false">C23/SUM(C20:C31)</f>
        <v>0.0465116279069767</v>
      </c>
      <c r="F23" s="78"/>
    </row>
    <row r="24" customFormat="false" ht="18" hidden="false" customHeight="true" outlineLevel="0" collapsed="false">
      <c r="A24" s="24" t="s">
        <v>545</v>
      </c>
      <c r="B24" s="54" t="s">
        <v>546</v>
      </c>
      <c r="C24" s="40" t="n">
        <v>6800</v>
      </c>
      <c r="D24" s="40" t="n">
        <f aca="false">C24*12</f>
        <v>81600</v>
      </c>
      <c r="E24" s="79" t="n">
        <f aca="false">C24/SUM(C20:C31)</f>
        <v>0.0753045404208195</v>
      </c>
      <c r="F24" s="77"/>
    </row>
    <row r="25" customFormat="false" ht="18" hidden="false" customHeight="true" outlineLevel="0" collapsed="false">
      <c r="A25" s="29" t="s">
        <v>547</v>
      </c>
      <c r="B25" s="60" t="s">
        <v>548</v>
      </c>
      <c r="C25" s="45" t="n">
        <v>2500</v>
      </c>
      <c r="D25" s="45" t="n">
        <f aca="false">C25*12</f>
        <v>30000</v>
      </c>
      <c r="E25" s="80" t="n">
        <f aca="false">C25/SUM(C20:C31)</f>
        <v>0.0276854928017719</v>
      </c>
      <c r="F25" s="78"/>
    </row>
    <row r="26" customFormat="false" ht="18" hidden="false" customHeight="true" outlineLevel="0" collapsed="false">
      <c r="A26" s="24" t="s">
        <v>549</v>
      </c>
      <c r="B26" s="54" t="s">
        <v>550</v>
      </c>
      <c r="C26" s="40" t="n">
        <v>22000</v>
      </c>
      <c r="D26" s="40" t="n">
        <f aca="false">C26*12</f>
        <v>264000</v>
      </c>
      <c r="E26" s="79" t="n">
        <f aca="false">C26/SUM(C20:C31)</f>
        <v>0.243632336655592</v>
      </c>
      <c r="F26" s="77"/>
    </row>
    <row r="27" customFormat="false" ht="18" hidden="false" customHeight="true" outlineLevel="0" collapsed="false">
      <c r="A27" s="29" t="s">
        <v>551</v>
      </c>
      <c r="B27" s="60" t="s">
        <v>552</v>
      </c>
      <c r="C27" s="45" t="n">
        <v>7000</v>
      </c>
      <c r="D27" s="45" t="n">
        <f aca="false">C27*12</f>
        <v>84000</v>
      </c>
      <c r="E27" s="80" t="n">
        <f aca="false">C27/SUM(C20:C31)</f>
        <v>0.0775193798449612</v>
      </c>
      <c r="F27" s="78"/>
    </row>
    <row r="28" customFormat="false" ht="18" hidden="false" customHeight="true" outlineLevel="0" collapsed="false">
      <c r="A28" s="24" t="s">
        <v>553</v>
      </c>
      <c r="B28" s="54" t="s">
        <v>552</v>
      </c>
      <c r="C28" s="40" t="n">
        <v>6500</v>
      </c>
      <c r="D28" s="40" t="n">
        <f aca="false">C28*12</f>
        <v>78000</v>
      </c>
      <c r="E28" s="79" t="n">
        <f aca="false">C28/SUM(C20:C31)</f>
        <v>0.0719822812846069</v>
      </c>
      <c r="F28" s="77"/>
    </row>
    <row r="29" customFormat="false" ht="18" hidden="false" customHeight="true" outlineLevel="0" collapsed="false">
      <c r="A29" s="29" t="s">
        <v>554</v>
      </c>
      <c r="B29" s="60" t="s">
        <v>555</v>
      </c>
      <c r="C29" s="45" t="n">
        <v>3500</v>
      </c>
      <c r="D29" s="45" t="n">
        <f aca="false">C29*12</f>
        <v>42000</v>
      </c>
      <c r="E29" s="80" t="n">
        <f aca="false">C29/SUM(C20:C31)</f>
        <v>0.0387596899224806</v>
      </c>
      <c r="F29" s="78"/>
    </row>
    <row r="30" customFormat="false" ht="18" hidden="false" customHeight="true" outlineLevel="0" collapsed="false">
      <c r="A30" s="24" t="s">
        <v>556</v>
      </c>
      <c r="B30" s="54" t="s">
        <v>557</v>
      </c>
      <c r="C30" s="40" t="n">
        <v>2800</v>
      </c>
      <c r="D30" s="40" t="n">
        <f aca="false">C30*12</f>
        <v>33600</v>
      </c>
      <c r="E30" s="79" t="n">
        <f aca="false">C30/SUM(C20:C31)</f>
        <v>0.0310077519379845</v>
      </c>
      <c r="F30" s="77"/>
    </row>
    <row r="31" customFormat="false" ht="18" hidden="false" customHeight="true" outlineLevel="0" collapsed="false">
      <c r="A31" s="29" t="s">
        <v>558</v>
      </c>
      <c r="B31" s="60" t="s">
        <v>559</v>
      </c>
      <c r="C31" s="45" t="n">
        <v>4200</v>
      </c>
      <c r="D31" s="45" t="n">
        <f aca="false">C31*12</f>
        <v>50400</v>
      </c>
      <c r="E31" s="80" t="n">
        <f aca="false">C31/SUM(C20:C31)</f>
        <v>0.0465116279069767</v>
      </c>
      <c r="F31" s="78"/>
    </row>
    <row r="32" customFormat="false" ht="15" hidden="false" customHeight="true" outlineLevel="0" collapsed="false">
      <c r="A32" s="50" t="s">
        <v>560</v>
      </c>
      <c r="B32" s="51"/>
      <c r="C32" s="52" t="n">
        <f aca="false">SUM(C20:C31)</f>
        <v>90300</v>
      </c>
      <c r="D32" s="52" t="n">
        <f aca="false">C32*12</f>
        <v>1083600</v>
      </c>
      <c r="E32" s="51"/>
      <c r="F32" s="51"/>
    </row>
    <row r="34" customFormat="false" ht="15" hidden="false" customHeight="true" outlineLevel="0" collapsed="false">
      <c r="A34" s="72" t="s">
        <v>561</v>
      </c>
      <c r="B34" s="72"/>
      <c r="C34" s="72"/>
      <c r="D34" s="72"/>
      <c r="E34" s="72"/>
      <c r="F34" s="72"/>
    </row>
    <row r="35" customFormat="false" ht="15" hidden="false" customHeight="true" outlineLevel="0" collapsed="false">
      <c r="A35" s="23" t="s">
        <v>562</v>
      </c>
      <c r="B35" s="23" t="s">
        <v>563</v>
      </c>
      <c r="C35" s="23" t="s">
        <v>6</v>
      </c>
    </row>
    <row r="36" customFormat="false" ht="15" hidden="false" customHeight="true" outlineLevel="0" collapsed="false">
      <c r="A36" s="24" t="s">
        <v>564</v>
      </c>
      <c r="B36" s="40" t="n">
        <v>1280</v>
      </c>
      <c r="C36" s="54" t="s">
        <v>565</v>
      </c>
    </row>
    <row r="37" customFormat="false" ht="15" hidden="false" customHeight="true" outlineLevel="0" collapsed="false">
      <c r="A37" s="29" t="s">
        <v>566</v>
      </c>
      <c r="B37" s="45" t="n">
        <v>5120</v>
      </c>
      <c r="C37" s="60" t="s">
        <v>567</v>
      </c>
    </row>
    <row r="38" customFormat="false" ht="15" hidden="false" customHeight="true" outlineLevel="0" collapsed="false">
      <c r="A38" s="24" t="s">
        <v>568</v>
      </c>
      <c r="B38" s="40" t="n">
        <v>400</v>
      </c>
      <c r="C38" s="54" t="s">
        <v>569</v>
      </c>
    </row>
    <row r="40" customFormat="false" ht="15" hidden="false" customHeight="true" outlineLevel="0" collapsed="false">
      <c r="A40" s="81" t="s">
        <v>570</v>
      </c>
      <c r="B40" s="81"/>
      <c r="C40" s="81"/>
      <c r="D40" s="81"/>
    </row>
    <row r="41" customFormat="false" ht="15" hidden="false" customHeight="true" outlineLevel="0" collapsed="false">
      <c r="A41" s="24" t="s">
        <v>571</v>
      </c>
      <c r="B41" s="82" t="n">
        <f aca="false">F16+C32</f>
        <v>115466.666666667</v>
      </c>
      <c r="C41" s="54"/>
    </row>
    <row r="42" customFormat="false" ht="15" hidden="false" customHeight="true" outlineLevel="0" collapsed="false">
      <c r="A42" s="29" t="s">
        <v>572</v>
      </c>
      <c r="B42" s="83" t="n">
        <f aca="false">B41/(36*730)</f>
        <v>4.39370877727042</v>
      </c>
      <c r="C42" s="60" t="s">
        <v>573</v>
      </c>
    </row>
    <row r="43" customFormat="false" ht="15" hidden="false" customHeight="true" outlineLevel="0" collapsed="false">
      <c r="A43" s="24" t="s">
        <v>574</v>
      </c>
      <c r="B43" s="83" t="n">
        <f aca="false">B40/(37*730)</f>
        <v>0</v>
      </c>
      <c r="C43" s="54" t="s">
        <v>575</v>
      </c>
    </row>
    <row r="44" customFormat="false" ht="15" hidden="false" customHeight="true" outlineLevel="0" collapsed="false">
      <c r="A44" s="29" t="s">
        <v>576</v>
      </c>
      <c r="B44" s="83" t="n">
        <f aca="false">B39/(38*1024)</f>
        <v>0</v>
      </c>
      <c r="C44" s="60" t="s">
        <v>577</v>
      </c>
    </row>
  </sheetData>
  <mergeCells count="6">
    <mergeCell ref="A1:J1"/>
    <mergeCell ref="A2:J2"/>
    <mergeCell ref="A4:F4"/>
    <mergeCell ref="A18:F18"/>
    <mergeCell ref="A34:F34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"/>
    <col collapsed="false" customWidth="true" hidden="false" outlineLevel="0" max="3" min="3" style="1" width="42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30"/>
    <col collapsed="false" customWidth="true" hidden="false" outlineLevel="0" max="9" min="9" style="1" width="12"/>
    <col collapsed="false" customWidth="true" hidden="false" outlineLevel="0" max="10" min="10" style="1" width="40"/>
  </cols>
  <sheetData>
    <row r="1" customFormat="false" ht="36" hidden="false" customHeight="true" outlineLevel="0" collapsed="false">
      <c r="A1" s="2" t="s">
        <v>578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579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7.75" hidden="false" customHeight="true" outlineLevel="0" collapsed="false">
      <c r="A4" s="23" t="s">
        <v>580</v>
      </c>
      <c r="B4" s="23" t="s">
        <v>581</v>
      </c>
      <c r="C4" s="23" t="s">
        <v>582</v>
      </c>
      <c r="D4" s="23" t="s">
        <v>227</v>
      </c>
      <c r="E4" s="23" t="s">
        <v>228</v>
      </c>
      <c r="F4" s="23" t="s">
        <v>46</v>
      </c>
      <c r="G4" s="23" t="s">
        <v>230</v>
      </c>
      <c r="H4" s="23" t="s">
        <v>583</v>
      </c>
      <c r="I4" s="23" t="s">
        <v>5</v>
      </c>
      <c r="J4" s="23" t="s">
        <v>584</v>
      </c>
    </row>
    <row r="5" customFormat="false" ht="27.75" hidden="false" customHeight="true" outlineLevel="0" collapsed="false">
      <c r="A5" s="68" t="s">
        <v>585</v>
      </c>
      <c r="B5" s="54" t="s">
        <v>586</v>
      </c>
      <c r="C5" s="24" t="s">
        <v>587</v>
      </c>
      <c r="D5" s="54" t="s">
        <v>305</v>
      </c>
      <c r="E5" s="54" t="s">
        <v>236</v>
      </c>
      <c r="F5" s="54" t="s">
        <v>52</v>
      </c>
      <c r="G5" s="54" t="n">
        <v>3</v>
      </c>
      <c r="H5" s="54" t="s">
        <v>588</v>
      </c>
      <c r="I5" s="56" t="s">
        <v>589</v>
      </c>
      <c r="J5" s="54" t="s">
        <v>590</v>
      </c>
    </row>
    <row r="6" customFormat="false" ht="27.75" hidden="false" customHeight="true" outlineLevel="0" collapsed="false">
      <c r="A6" s="68" t="s">
        <v>585</v>
      </c>
      <c r="B6" s="60" t="s">
        <v>586</v>
      </c>
      <c r="C6" s="29" t="s">
        <v>591</v>
      </c>
      <c r="D6" s="60" t="s">
        <v>289</v>
      </c>
      <c r="E6" s="60" t="s">
        <v>236</v>
      </c>
      <c r="F6" s="60" t="s">
        <v>52</v>
      </c>
      <c r="G6" s="60" t="n">
        <v>2</v>
      </c>
      <c r="H6" s="60" t="s">
        <v>592</v>
      </c>
      <c r="I6" s="56" t="s">
        <v>589</v>
      </c>
      <c r="J6" s="60" t="s">
        <v>593</v>
      </c>
    </row>
    <row r="7" customFormat="false" ht="27.75" hidden="false" customHeight="true" outlineLevel="0" collapsed="false">
      <c r="A7" s="68" t="s">
        <v>585</v>
      </c>
      <c r="B7" s="54" t="s">
        <v>594</v>
      </c>
      <c r="C7" s="24" t="s">
        <v>595</v>
      </c>
      <c r="D7" s="54" t="s">
        <v>65</v>
      </c>
      <c r="E7" s="54" t="s">
        <v>236</v>
      </c>
      <c r="F7" s="54" t="s">
        <v>52</v>
      </c>
      <c r="G7" s="54" t="n">
        <v>2</v>
      </c>
      <c r="H7" s="54" t="s">
        <v>596</v>
      </c>
      <c r="I7" s="56" t="s">
        <v>589</v>
      </c>
      <c r="J7" s="54" t="s">
        <v>597</v>
      </c>
    </row>
    <row r="8" customFormat="false" ht="27.75" hidden="false" customHeight="true" outlineLevel="0" collapsed="false">
      <c r="A8" s="68" t="s">
        <v>585</v>
      </c>
      <c r="B8" s="60" t="s">
        <v>594</v>
      </c>
      <c r="C8" s="29" t="s">
        <v>598</v>
      </c>
      <c r="D8" s="60" t="s">
        <v>65</v>
      </c>
      <c r="E8" s="60" t="s">
        <v>236</v>
      </c>
      <c r="F8" s="60" t="s">
        <v>52</v>
      </c>
      <c r="G8" s="60" t="n">
        <v>1</v>
      </c>
      <c r="H8" s="60" t="s">
        <v>599</v>
      </c>
      <c r="I8" s="56" t="s">
        <v>589</v>
      </c>
      <c r="J8" s="60" t="s">
        <v>600</v>
      </c>
    </row>
    <row r="9" customFormat="false" ht="27.75" hidden="false" customHeight="true" outlineLevel="0" collapsed="false">
      <c r="A9" s="68" t="s">
        <v>585</v>
      </c>
      <c r="B9" s="54" t="s">
        <v>601</v>
      </c>
      <c r="C9" s="24" t="s">
        <v>602</v>
      </c>
      <c r="D9" s="54" t="s">
        <v>603</v>
      </c>
      <c r="E9" s="54" t="s">
        <v>236</v>
      </c>
      <c r="F9" s="54" t="s">
        <v>57</v>
      </c>
      <c r="G9" s="54" t="n">
        <v>2</v>
      </c>
      <c r="H9" s="54" t="s">
        <v>604</v>
      </c>
      <c r="I9" s="56" t="s">
        <v>589</v>
      </c>
      <c r="J9" s="54" t="s">
        <v>605</v>
      </c>
    </row>
    <row r="10" customFormat="false" ht="27.75" hidden="false" customHeight="true" outlineLevel="0" collapsed="false">
      <c r="A10" s="69" t="s">
        <v>606</v>
      </c>
      <c r="B10" s="60" t="s">
        <v>607</v>
      </c>
      <c r="C10" s="29" t="s">
        <v>608</v>
      </c>
      <c r="D10" s="60" t="s">
        <v>65</v>
      </c>
      <c r="E10" s="60" t="s">
        <v>236</v>
      </c>
      <c r="F10" s="60" t="s">
        <v>52</v>
      </c>
      <c r="G10" s="60" t="n">
        <v>3</v>
      </c>
      <c r="H10" s="60" t="s">
        <v>609</v>
      </c>
      <c r="I10" s="57" t="s">
        <v>610</v>
      </c>
      <c r="J10" s="60" t="s">
        <v>611</v>
      </c>
    </row>
    <row r="11" customFormat="false" ht="27.75" hidden="false" customHeight="true" outlineLevel="0" collapsed="false">
      <c r="A11" s="69" t="s">
        <v>606</v>
      </c>
      <c r="B11" s="54" t="s">
        <v>607</v>
      </c>
      <c r="C11" s="24" t="s">
        <v>612</v>
      </c>
      <c r="D11" s="54" t="s">
        <v>613</v>
      </c>
      <c r="E11" s="54" t="s">
        <v>236</v>
      </c>
      <c r="F11" s="54" t="s">
        <v>57</v>
      </c>
      <c r="G11" s="54" t="n">
        <v>2</v>
      </c>
      <c r="H11" s="54" t="s">
        <v>604</v>
      </c>
      <c r="I11" s="57" t="s">
        <v>610</v>
      </c>
      <c r="J11" s="54" t="s">
        <v>614</v>
      </c>
    </row>
    <row r="12" customFormat="false" ht="27.75" hidden="false" customHeight="true" outlineLevel="0" collapsed="false">
      <c r="A12" s="69" t="s">
        <v>606</v>
      </c>
      <c r="B12" s="60" t="s">
        <v>615</v>
      </c>
      <c r="C12" s="29" t="s">
        <v>616</v>
      </c>
      <c r="D12" s="60" t="s">
        <v>59</v>
      </c>
      <c r="E12" s="60" t="s">
        <v>236</v>
      </c>
      <c r="F12" s="60" t="s">
        <v>52</v>
      </c>
      <c r="G12" s="60" t="n">
        <v>2</v>
      </c>
      <c r="H12" s="60" t="s">
        <v>617</v>
      </c>
      <c r="I12" s="57" t="s">
        <v>610</v>
      </c>
      <c r="J12" s="60" t="s">
        <v>618</v>
      </c>
    </row>
    <row r="13" customFormat="false" ht="27.75" hidden="false" customHeight="true" outlineLevel="0" collapsed="false">
      <c r="A13" s="69" t="s">
        <v>606</v>
      </c>
      <c r="B13" s="54" t="s">
        <v>619</v>
      </c>
      <c r="C13" s="24" t="s">
        <v>620</v>
      </c>
      <c r="D13" s="54" t="s">
        <v>59</v>
      </c>
      <c r="E13" s="54" t="s">
        <v>236</v>
      </c>
      <c r="F13" s="54" t="s">
        <v>52</v>
      </c>
      <c r="G13" s="54" t="n">
        <v>1</v>
      </c>
      <c r="H13" s="54" t="s">
        <v>621</v>
      </c>
      <c r="I13" s="62" t="s">
        <v>496</v>
      </c>
      <c r="J13" s="54" t="s">
        <v>622</v>
      </c>
    </row>
    <row r="14" customFormat="false" ht="27.75" hidden="false" customHeight="true" outlineLevel="0" collapsed="false">
      <c r="A14" s="69" t="s">
        <v>606</v>
      </c>
      <c r="B14" s="60" t="s">
        <v>619</v>
      </c>
      <c r="C14" s="29" t="s">
        <v>623</v>
      </c>
      <c r="D14" s="60" t="s">
        <v>603</v>
      </c>
      <c r="E14" s="60" t="s">
        <v>236</v>
      </c>
      <c r="F14" s="60" t="s">
        <v>57</v>
      </c>
      <c r="G14" s="60" t="n">
        <v>3</v>
      </c>
      <c r="H14" s="60" t="s">
        <v>624</v>
      </c>
      <c r="I14" s="62" t="s">
        <v>496</v>
      </c>
      <c r="J14" s="60" t="s">
        <v>625</v>
      </c>
    </row>
    <row r="15" customFormat="false" ht="27.75" hidden="false" customHeight="true" outlineLevel="0" collapsed="false">
      <c r="A15" s="84" t="s">
        <v>626</v>
      </c>
      <c r="B15" s="54" t="s">
        <v>627</v>
      </c>
      <c r="C15" s="24" t="s">
        <v>628</v>
      </c>
      <c r="D15" s="54" t="s">
        <v>59</v>
      </c>
      <c r="E15" s="54" t="s">
        <v>236</v>
      </c>
      <c r="F15" s="54" t="s">
        <v>52</v>
      </c>
      <c r="G15" s="54" t="n">
        <v>5</v>
      </c>
      <c r="H15" s="54" t="s">
        <v>629</v>
      </c>
      <c r="I15" s="62" t="s">
        <v>496</v>
      </c>
      <c r="J15" s="54" t="s">
        <v>630</v>
      </c>
    </row>
    <row r="16" customFormat="false" ht="27.75" hidden="false" customHeight="true" outlineLevel="0" collapsed="false">
      <c r="A16" s="84" t="s">
        <v>626</v>
      </c>
      <c r="B16" s="60" t="s">
        <v>627</v>
      </c>
      <c r="C16" s="29" t="s">
        <v>631</v>
      </c>
      <c r="D16" s="60" t="s">
        <v>61</v>
      </c>
      <c r="E16" s="60" t="s">
        <v>243</v>
      </c>
      <c r="F16" s="60" t="s">
        <v>52</v>
      </c>
      <c r="G16" s="60" t="n">
        <v>10</v>
      </c>
      <c r="H16" s="60" t="s">
        <v>632</v>
      </c>
      <c r="I16" s="62" t="s">
        <v>496</v>
      </c>
      <c r="J16" s="60" t="s">
        <v>633</v>
      </c>
    </row>
    <row r="17" customFormat="false" ht="27.75" hidden="false" customHeight="true" outlineLevel="0" collapsed="false">
      <c r="A17" s="84" t="s">
        <v>626</v>
      </c>
      <c r="B17" s="54" t="s">
        <v>634</v>
      </c>
      <c r="C17" s="24" t="s">
        <v>635</v>
      </c>
      <c r="D17" s="54" t="s">
        <v>61</v>
      </c>
      <c r="E17" s="54" t="s">
        <v>236</v>
      </c>
      <c r="F17" s="54" t="s">
        <v>636</v>
      </c>
      <c r="G17" s="54" t="n">
        <v>5</v>
      </c>
      <c r="H17" s="54" t="s">
        <v>637</v>
      </c>
      <c r="I17" s="62" t="s">
        <v>496</v>
      </c>
      <c r="J17" s="54" t="s">
        <v>638</v>
      </c>
    </row>
    <row r="18" customFormat="false" ht="27.75" hidden="false" customHeight="true" outlineLevel="0" collapsed="false">
      <c r="A18" s="84" t="s">
        <v>626</v>
      </c>
      <c r="B18" s="60" t="s">
        <v>639</v>
      </c>
      <c r="C18" s="29" t="s">
        <v>640</v>
      </c>
      <c r="D18" s="60" t="s">
        <v>61</v>
      </c>
      <c r="E18" s="60" t="s">
        <v>236</v>
      </c>
      <c r="F18" s="60" t="s">
        <v>52</v>
      </c>
      <c r="G18" s="60" t="n">
        <v>8</v>
      </c>
      <c r="H18" s="60" t="s">
        <v>641</v>
      </c>
      <c r="I18" s="62" t="s">
        <v>496</v>
      </c>
      <c r="J18" s="60" t="s">
        <v>642</v>
      </c>
    </row>
    <row r="19" customFormat="false" ht="27.75" hidden="false" customHeight="true" outlineLevel="0" collapsed="false">
      <c r="A19" s="84" t="s">
        <v>626</v>
      </c>
      <c r="B19" s="54" t="s">
        <v>643</v>
      </c>
      <c r="C19" s="24" t="s">
        <v>644</v>
      </c>
      <c r="D19" s="54" t="s">
        <v>645</v>
      </c>
      <c r="E19" s="54" t="s">
        <v>236</v>
      </c>
      <c r="F19" s="54" t="s">
        <v>52</v>
      </c>
      <c r="G19" s="54" t="n">
        <v>3</v>
      </c>
      <c r="H19" s="54" t="s">
        <v>646</v>
      </c>
      <c r="I19" s="62" t="s">
        <v>496</v>
      </c>
      <c r="J19" s="54" t="s">
        <v>647</v>
      </c>
    </row>
    <row r="20" customFormat="false" ht="27.75" hidden="false" customHeight="true" outlineLevel="0" collapsed="false">
      <c r="A20" s="84" t="s">
        <v>626</v>
      </c>
      <c r="B20" s="60" t="s">
        <v>648</v>
      </c>
      <c r="C20" s="29" t="s">
        <v>649</v>
      </c>
      <c r="D20" s="60" t="s">
        <v>650</v>
      </c>
      <c r="E20" s="60" t="s">
        <v>243</v>
      </c>
      <c r="F20" s="60" t="s">
        <v>57</v>
      </c>
      <c r="G20" s="60" t="n">
        <v>5</v>
      </c>
      <c r="H20" s="60" t="s">
        <v>651</v>
      </c>
      <c r="I20" s="62" t="s">
        <v>496</v>
      </c>
      <c r="J20" s="60" t="s">
        <v>652</v>
      </c>
    </row>
    <row r="21" customFormat="false" ht="27.75" hidden="false" customHeight="true" outlineLevel="0" collapsed="false">
      <c r="A21" s="56" t="s">
        <v>653</v>
      </c>
      <c r="B21" s="54" t="s">
        <v>654</v>
      </c>
      <c r="C21" s="24" t="s">
        <v>655</v>
      </c>
      <c r="D21" s="54" t="s">
        <v>65</v>
      </c>
      <c r="E21" s="54" t="s">
        <v>236</v>
      </c>
      <c r="F21" s="54" t="s">
        <v>298</v>
      </c>
      <c r="G21" s="54" t="n">
        <v>5</v>
      </c>
      <c r="H21" s="54" t="s">
        <v>656</v>
      </c>
      <c r="I21" s="62" t="s">
        <v>496</v>
      </c>
      <c r="J21" s="54" t="s">
        <v>657</v>
      </c>
    </row>
    <row r="22" customFormat="false" ht="27.75" hidden="false" customHeight="true" outlineLevel="0" collapsed="false">
      <c r="A22" s="56" t="s">
        <v>653</v>
      </c>
      <c r="B22" s="60" t="s">
        <v>658</v>
      </c>
      <c r="C22" s="29" t="s">
        <v>659</v>
      </c>
      <c r="D22" s="60" t="s">
        <v>660</v>
      </c>
      <c r="E22" s="60" t="s">
        <v>236</v>
      </c>
      <c r="F22" s="60" t="s">
        <v>57</v>
      </c>
      <c r="G22" s="60" t="n">
        <v>8</v>
      </c>
      <c r="H22" s="60" t="s">
        <v>661</v>
      </c>
      <c r="I22" s="62" t="s">
        <v>496</v>
      </c>
      <c r="J22" s="60" t="s">
        <v>662</v>
      </c>
    </row>
    <row r="23" customFormat="false" ht="27.75" hidden="false" customHeight="true" outlineLevel="0" collapsed="false">
      <c r="A23" s="56" t="s">
        <v>653</v>
      </c>
      <c r="B23" s="54" t="s">
        <v>663</v>
      </c>
      <c r="C23" s="24" t="s">
        <v>664</v>
      </c>
      <c r="D23" s="54" t="s">
        <v>665</v>
      </c>
      <c r="E23" s="54" t="s">
        <v>236</v>
      </c>
      <c r="F23" s="54" t="s">
        <v>52</v>
      </c>
      <c r="G23" s="54" t="n">
        <v>5</v>
      </c>
      <c r="H23" s="54" t="s">
        <v>666</v>
      </c>
      <c r="I23" s="62" t="s">
        <v>496</v>
      </c>
      <c r="J23" s="54" t="s">
        <v>667</v>
      </c>
    </row>
    <row r="24" customFormat="false" ht="27.75" hidden="false" customHeight="true" outlineLevel="0" collapsed="false">
      <c r="A24" s="56" t="s">
        <v>653</v>
      </c>
      <c r="B24" s="60" t="s">
        <v>668</v>
      </c>
      <c r="C24" s="29" t="s">
        <v>669</v>
      </c>
      <c r="D24" s="60" t="s">
        <v>65</v>
      </c>
      <c r="E24" s="60" t="s">
        <v>236</v>
      </c>
      <c r="F24" s="60" t="s">
        <v>57</v>
      </c>
      <c r="G24" s="60" t="n">
        <v>3</v>
      </c>
      <c r="H24" s="60" t="s">
        <v>670</v>
      </c>
      <c r="I24" s="62" t="s">
        <v>496</v>
      </c>
      <c r="J24" s="60" t="s">
        <v>671</v>
      </c>
    </row>
    <row r="25" customFormat="false" ht="27.75" hidden="false" customHeight="true" outlineLevel="0" collapsed="false">
      <c r="A25" s="56" t="s">
        <v>653</v>
      </c>
      <c r="B25" s="54" t="s">
        <v>672</v>
      </c>
      <c r="C25" s="24" t="s">
        <v>673</v>
      </c>
      <c r="D25" s="54" t="s">
        <v>674</v>
      </c>
      <c r="E25" s="54" t="s">
        <v>236</v>
      </c>
      <c r="F25" s="54" t="s">
        <v>57</v>
      </c>
      <c r="G25" s="54" t="n">
        <v>5</v>
      </c>
      <c r="H25" s="54" t="s">
        <v>675</v>
      </c>
      <c r="I25" s="62" t="s">
        <v>496</v>
      </c>
      <c r="J25" s="54" t="s">
        <v>676</v>
      </c>
    </row>
  </sheetData>
  <autoFilter ref="A4:J25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  <col collapsed="false" customWidth="true" hidden="false" outlineLevel="0" max="3" min="3" style="1" width="50"/>
    <col collapsed="false" customWidth="true" hidden="false" outlineLevel="0" max="4" min="4" style="1" width="12"/>
  </cols>
  <sheetData>
    <row r="1" customFormat="false" ht="36" hidden="false" customHeight="true" outlineLevel="0" collapsed="false">
      <c r="A1" s="2" t="s">
        <v>677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678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72" t="s">
        <v>679</v>
      </c>
      <c r="B4" s="72"/>
      <c r="C4" s="72"/>
      <c r="D4" s="72"/>
    </row>
    <row r="6" customFormat="false" ht="19.5" hidden="false" customHeight="true" outlineLevel="0" collapsed="false">
      <c r="A6" s="6" t="s">
        <v>680</v>
      </c>
      <c r="B6" s="85" t="n">
        <v>120000</v>
      </c>
      <c r="C6" s="86" t="s">
        <v>681</v>
      </c>
    </row>
    <row r="7" customFormat="false" ht="19.5" hidden="false" customHeight="true" outlineLevel="0" collapsed="false">
      <c r="A7" s="10" t="s">
        <v>682</v>
      </c>
      <c r="B7" s="87" t="n">
        <v>0.4</v>
      </c>
      <c r="C7" s="88" t="s">
        <v>683</v>
      </c>
    </row>
    <row r="8" customFormat="false" ht="19.5" hidden="false" customHeight="true" outlineLevel="0" collapsed="false">
      <c r="A8" s="6" t="s">
        <v>684</v>
      </c>
      <c r="B8" s="87" t="n">
        <v>0.35</v>
      </c>
      <c r="C8" s="86" t="s">
        <v>685</v>
      </c>
    </row>
    <row r="9" customFormat="false" ht="19.5" hidden="false" customHeight="true" outlineLevel="0" collapsed="false">
      <c r="A9" s="10" t="s">
        <v>686</v>
      </c>
      <c r="B9" s="87" t="n">
        <v>0.45</v>
      </c>
      <c r="C9" s="88" t="s">
        <v>687</v>
      </c>
    </row>
    <row r="10" customFormat="false" ht="19.5" hidden="false" customHeight="true" outlineLevel="0" collapsed="false">
      <c r="A10" s="6" t="s">
        <v>688</v>
      </c>
      <c r="B10" s="87" t="n">
        <v>0.1</v>
      </c>
      <c r="C10" s="86" t="s">
        <v>689</v>
      </c>
    </row>
    <row r="11" customFormat="false" ht="19.5" hidden="false" customHeight="true" outlineLevel="0" collapsed="false">
      <c r="A11" s="10" t="s">
        <v>690</v>
      </c>
      <c r="B11" s="87" t="n">
        <v>0.7</v>
      </c>
      <c r="C11" s="88" t="s">
        <v>691</v>
      </c>
    </row>
    <row r="12" customFormat="false" ht="19.5" hidden="false" customHeight="true" outlineLevel="0" collapsed="false">
      <c r="A12" s="6" t="s">
        <v>692</v>
      </c>
      <c r="B12" s="87" t="n">
        <v>0.65</v>
      </c>
      <c r="C12" s="86" t="s">
        <v>693</v>
      </c>
    </row>
    <row r="13" customFormat="false" ht="19.5" hidden="false" customHeight="true" outlineLevel="0" collapsed="false">
      <c r="A13" s="10" t="s">
        <v>694</v>
      </c>
      <c r="B13" s="87" t="n">
        <v>0.35</v>
      </c>
      <c r="C13" s="88" t="s">
        <v>695</v>
      </c>
    </row>
    <row r="14" customFormat="false" ht="19.5" hidden="false" customHeight="true" outlineLevel="0" collapsed="false">
      <c r="A14" s="6" t="s">
        <v>696</v>
      </c>
      <c r="B14" s="87" t="n">
        <v>0.08</v>
      </c>
      <c r="C14" s="86" t="s">
        <v>697</v>
      </c>
    </row>
    <row r="15" customFormat="false" ht="19.5" hidden="false" customHeight="true" outlineLevel="0" collapsed="false">
      <c r="A15" s="10" t="s">
        <v>698</v>
      </c>
      <c r="B15" s="85" t="n">
        <v>2000</v>
      </c>
      <c r="C15" s="88" t="s">
        <v>699</v>
      </c>
    </row>
    <row r="17" customFormat="false" ht="15" hidden="false" customHeight="true" outlineLevel="0" collapsed="false">
      <c r="A17" s="89" t="s">
        <v>700</v>
      </c>
      <c r="B17" s="89"/>
      <c r="C17" s="89"/>
      <c r="D17" s="89"/>
    </row>
    <row r="18" customFormat="false" ht="19.5" hidden="false" customHeight="true" outlineLevel="0" collapsed="false">
      <c r="A18" s="6" t="s">
        <v>701</v>
      </c>
      <c r="B18" s="90" t="n">
        <f aca="false">B6*((B7+B8)/2)*0.7</f>
        <v>31500</v>
      </c>
      <c r="C18" s="86" t="s">
        <v>702</v>
      </c>
    </row>
    <row r="19" customFormat="false" ht="19.5" hidden="false" customHeight="true" outlineLevel="0" collapsed="false">
      <c r="A19" s="10" t="s">
        <v>703</v>
      </c>
      <c r="B19" s="90" t="n">
        <f aca="false">B6*B9*(B11)*(1-B10/B9)</f>
        <v>29400</v>
      </c>
      <c r="C19" s="88" t="s">
        <v>704</v>
      </c>
    </row>
    <row r="20" customFormat="false" ht="19.5" hidden="false" customHeight="true" outlineLevel="0" collapsed="false">
      <c r="A20" s="6" t="s">
        <v>705</v>
      </c>
      <c r="B20" s="90" t="n">
        <f aca="false">B6*B12*B13</f>
        <v>27300</v>
      </c>
      <c r="C20" s="86" t="s">
        <v>706</v>
      </c>
    </row>
    <row r="21" customFormat="false" ht="19.5" hidden="false" customHeight="true" outlineLevel="0" collapsed="false">
      <c r="A21" s="10" t="s">
        <v>707</v>
      </c>
      <c r="B21" s="90" t="n">
        <f aca="false">B6*B14</f>
        <v>9600</v>
      </c>
      <c r="C21" s="88" t="s">
        <v>708</v>
      </c>
    </row>
    <row r="22" customFormat="false" ht="19.5" hidden="false" customHeight="true" outlineLevel="0" collapsed="false">
      <c r="A22" s="6" t="s">
        <v>709</v>
      </c>
      <c r="B22" s="90" t="n">
        <f aca="false">B15</f>
        <v>2000</v>
      </c>
      <c r="C22" s="86" t="s">
        <v>710</v>
      </c>
    </row>
    <row r="23" customFormat="false" ht="19.5" hidden="false" customHeight="true" outlineLevel="0" collapsed="false">
      <c r="A23" s="10" t="s">
        <v>711</v>
      </c>
      <c r="B23" s="90" t="n">
        <f aca="false">B6*0.05</f>
        <v>6000</v>
      </c>
      <c r="C23" s="88" t="s">
        <v>712</v>
      </c>
    </row>
    <row r="24" customFormat="false" ht="19.5" hidden="false" customHeight="true" outlineLevel="0" collapsed="false">
      <c r="A24" s="6" t="s">
        <v>713</v>
      </c>
      <c r="B24" s="90" t="n">
        <f aca="false">B6*0.03</f>
        <v>3600</v>
      </c>
      <c r="C24" s="86" t="s">
        <v>714</v>
      </c>
    </row>
    <row r="25" customFormat="false" ht="24" hidden="false" customHeight="true" outlineLevel="0" collapsed="false">
      <c r="A25" s="91" t="s">
        <v>715</v>
      </c>
      <c r="B25" s="92" t="n">
        <f aca="false">SUM(B18:B24)</f>
        <v>109400</v>
      </c>
      <c r="C25" s="93"/>
      <c r="D25" s="93"/>
    </row>
    <row r="26" customFormat="false" ht="21.75" hidden="false" customHeight="true" outlineLevel="0" collapsed="false">
      <c r="A26" s="94" t="s">
        <v>716</v>
      </c>
      <c r="B26" s="95" t="n">
        <f aca="false">B25*12</f>
        <v>1312800</v>
      </c>
      <c r="C26" s="96"/>
      <c r="D26" s="96"/>
    </row>
    <row r="27" customFormat="false" ht="21.75" hidden="false" customHeight="true" outlineLevel="0" collapsed="false">
      <c r="A27" s="97" t="s">
        <v>717</v>
      </c>
      <c r="B27" s="98" t="n">
        <f aca="false">B25/B6</f>
        <v>0.911666666666667</v>
      </c>
      <c r="C27" s="99"/>
      <c r="D27" s="99"/>
    </row>
  </sheetData>
  <mergeCells count="4">
    <mergeCell ref="A1:J1"/>
    <mergeCell ref="A2:J2"/>
    <mergeCell ref="A4:D4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8"/>
    <col collapsed="false" customWidth="true" hidden="false" outlineLevel="0" max="6" min="6" style="1" width="36"/>
    <col collapsed="false" customWidth="true" hidden="false" outlineLevel="0" max="7" min="7" style="1" width="30"/>
  </cols>
  <sheetData>
    <row r="1" customFormat="false" ht="36" hidden="false" customHeight="true" outlineLevel="0" collapsed="false">
      <c r="A1" s="2" t="s">
        <v>718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719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100" t="s">
        <v>720</v>
      </c>
      <c r="B4" s="100"/>
      <c r="C4" s="100"/>
      <c r="D4" s="100"/>
      <c r="E4" s="100"/>
      <c r="F4" s="100"/>
      <c r="G4" s="100"/>
    </row>
    <row r="5" customFormat="false" ht="27.75" hidden="false" customHeight="true" outlineLevel="0" collapsed="false">
      <c r="A5" s="23" t="s">
        <v>42</v>
      </c>
      <c r="B5" s="23" t="s">
        <v>721</v>
      </c>
      <c r="C5" s="23" t="s">
        <v>722</v>
      </c>
      <c r="D5" s="23" t="s">
        <v>723</v>
      </c>
      <c r="E5" s="23" t="s">
        <v>724</v>
      </c>
      <c r="F5" s="23" t="s">
        <v>725</v>
      </c>
      <c r="G5" s="23" t="s">
        <v>6</v>
      </c>
    </row>
    <row r="6" customFormat="false" ht="19.5" hidden="false" customHeight="true" outlineLevel="0" collapsed="false">
      <c r="A6" s="24" t="s">
        <v>48</v>
      </c>
      <c r="B6" s="54" t="s">
        <v>726</v>
      </c>
      <c r="C6" s="101" t="n">
        <v>2</v>
      </c>
      <c r="D6" s="102" t="n">
        <v>4</v>
      </c>
      <c r="E6" s="103" t="n">
        <f aca="false">D6-C6</f>
        <v>2</v>
      </c>
      <c r="F6" s="54"/>
      <c r="G6" s="54"/>
    </row>
    <row r="7" customFormat="false" ht="19.5" hidden="false" customHeight="true" outlineLevel="0" collapsed="false">
      <c r="A7" s="29" t="s">
        <v>48</v>
      </c>
      <c r="B7" s="60" t="s">
        <v>727</v>
      </c>
      <c r="C7" s="101" t="n">
        <v>2</v>
      </c>
      <c r="D7" s="102" t="n">
        <v>4</v>
      </c>
      <c r="E7" s="103" t="n">
        <f aca="false">D7-C7</f>
        <v>2</v>
      </c>
      <c r="F7" s="60"/>
      <c r="G7" s="60"/>
    </row>
    <row r="8" customFormat="false" ht="19.5" hidden="false" customHeight="true" outlineLevel="0" collapsed="false">
      <c r="A8" s="24" t="s">
        <v>48</v>
      </c>
      <c r="B8" s="54" t="s">
        <v>728</v>
      </c>
      <c r="C8" s="104" t="n">
        <v>1</v>
      </c>
      <c r="D8" s="105" t="n">
        <v>3</v>
      </c>
      <c r="E8" s="103" t="n">
        <f aca="false">D8-C8</f>
        <v>2</v>
      </c>
      <c r="F8" s="54"/>
      <c r="G8" s="54"/>
    </row>
    <row r="9" customFormat="false" ht="19.5" hidden="false" customHeight="true" outlineLevel="0" collapsed="false">
      <c r="A9" s="29" t="s">
        <v>54</v>
      </c>
      <c r="B9" s="60" t="s">
        <v>729</v>
      </c>
      <c r="C9" s="104" t="n">
        <v>1</v>
      </c>
      <c r="D9" s="106" t="n">
        <v>5</v>
      </c>
      <c r="E9" s="107" t="n">
        <f aca="false">D9-C9</f>
        <v>4</v>
      </c>
      <c r="F9" s="60"/>
      <c r="G9" s="60"/>
    </row>
    <row r="10" customFormat="false" ht="19.5" hidden="false" customHeight="true" outlineLevel="0" collapsed="false">
      <c r="A10" s="24" t="s">
        <v>54</v>
      </c>
      <c r="B10" s="54" t="s">
        <v>730</v>
      </c>
      <c r="C10" s="101" t="n">
        <v>2</v>
      </c>
      <c r="D10" s="102" t="n">
        <v>4</v>
      </c>
      <c r="E10" s="103" t="n">
        <f aca="false">D10-C10</f>
        <v>2</v>
      </c>
      <c r="F10" s="54"/>
      <c r="G10" s="54"/>
    </row>
    <row r="11" customFormat="false" ht="19.5" hidden="false" customHeight="true" outlineLevel="0" collapsed="false">
      <c r="A11" s="29" t="s">
        <v>54</v>
      </c>
      <c r="B11" s="60" t="s">
        <v>731</v>
      </c>
      <c r="C11" s="104" t="n">
        <v>1</v>
      </c>
      <c r="D11" s="105" t="n">
        <v>3</v>
      </c>
      <c r="E11" s="103" t="n">
        <f aca="false">D11-C11</f>
        <v>2</v>
      </c>
      <c r="F11" s="60"/>
      <c r="G11" s="60"/>
    </row>
    <row r="12" customFormat="false" ht="19.5" hidden="false" customHeight="true" outlineLevel="0" collapsed="false">
      <c r="A12" s="24" t="s">
        <v>59</v>
      </c>
      <c r="B12" s="54" t="s">
        <v>732</v>
      </c>
      <c r="C12" s="101" t="n">
        <v>2</v>
      </c>
      <c r="D12" s="102" t="n">
        <v>4</v>
      </c>
      <c r="E12" s="103" t="n">
        <f aca="false">D12-C12</f>
        <v>2</v>
      </c>
      <c r="F12" s="54"/>
      <c r="G12" s="54"/>
    </row>
    <row r="13" customFormat="false" ht="19.5" hidden="false" customHeight="true" outlineLevel="0" collapsed="false">
      <c r="A13" s="29" t="s">
        <v>59</v>
      </c>
      <c r="B13" s="60" t="s">
        <v>733</v>
      </c>
      <c r="C13" s="104" t="n">
        <v>1</v>
      </c>
      <c r="D13" s="105" t="n">
        <v>3</v>
      </c>
      <c r="E13" s="103" t="n">
        <f aca="false">D13-C13</f>
        <v>2</v>
      </c>
      <c r="F13" s="60"/>
      <c r="G13" s="60"/>
    </row>
    <row r="14" customFormat="false" ht="19.5" hidden="false" customHeight="true" outlineLevel="0" collapsed="false">
      <c r="A14" s="24" t="s">
        <v>59</v>
      </c>
      <c r="B14" s="54" t="s">
        <v>734</v>
      </c>
      <c r="C14" s="104" t="n">
        <v>1</v>
      </c>
      <c r="D14" s="105" t="n">
        <v>3</v>
      </c>
      <c r="E14" s="103" t="n">
        <f aca="false">D14-C14</f>
        <v>2</v>
      </c>
      <c r="F14" s="54"/>
      <c r="G14" s="54"/>
    </row>
    <row r="15" customFormat="false" ht="19.5" hidden="false" customHeight="true" outlineLevel="0" collapsed="false">
      <c r="A15" s="29" t="s">
        <v>61</v>
      </c>
      <c r="B15" s="60" t="s">
        <v>735</v>
      </c>
      <c r="C15" s="105" t="n">
        <v>3</v>
      </c>
      <c r="D15" s="106" t="n">
        <v>5</v>
      </c>
      <c r="E15" s="103" t="n">
        <f aca="false">D15-C15</f>
        <v>2</v>
      </c>
      <c r="F15" s="60"/>
      <c r="G15" s="60"/>
    </row>
    <row r="16" customFormat="false" ht="19.5" hidden="false" customHeight="true" outlineLevel="0" collapsed="false">
      <c r="A16" s="24" t="s">
        <v>61</v>
      </c>
      <c r="B16" s="54" t="s">
        <v>736</v>
      </c>
      <c r="C16" s="101" t="n">
        <v>2</v>
      </c>
      <c r="D16" s="102" t="n">
        <v>4</v>
      </c>
      <c r="E16" s="103" t="n">
        <f aca="false">D16-C16</f>
        <v>2</v>
      </c>
      <c r="F16" s="54"/>
      <c r="G16" s="54"/>
    </row>
    <row r="17" customFormat="false" ht="19.5" hidden="false" customHeight="true" outlineLevel="0" collapsed="false">
      <c r="A17" s="29" t="s">
        <v>61</v>
      </c>
      <c r="B17" s="60" t="s">
        <v>737</v>
      </c>
      <c r="C17" s="104" t="n">
        <v>1</v>
      </c>
      <c r="D17" s="102" t="n">
        <v>4</v>
      </c>
      <c r="E17" s="107" t="n">
        <f aca="false">D17-C17</f>
        <v>3</v>
      </c>
      <c r="F17" s="60"/>
      <c r="G17" s="60"/>
    </row>
    <row r="18" customFormat="false" ht="19.5" hidden="false" customHeight="true" outlineLevel="0" collapsed="false">
      <c r="A18" s="24" t="s">
        <v>61</v>
      </c>
      <c r="B18" s="54" t="s">
        <v>738</v>
      </c>
      <c r="C18" s="104" t="n">
        <v>1</v>
      </c>
      <c r="D18" s="102" t="n">
        <v>4</v>
      </c>
      <c r="E18" s="107" t="n">
        <f aca="false">D18-C18</f>
        <v>3</v>
      </c>
      <c r="F18" s="54"/>
      <c r="G18" s="54"/>
    </row>
    <row r="19" customFormat="false" ht="19.5" hidden="false" customHeight="true" outlineLevel="0" collapsed="false">
      <c r="A19" s="29" t="s">
        <v>65</v>
      </c>
      <c r="B19" s="60" t="s">
        <v>739</v>
      </c>
      <c r="C19" s="104" t="n">
        <v>1</v>
      </c>
      <c r="D19" s="106" t="n">
        <v>5</v>
      </c>
      <c r="E19" s="107" t="n">
        <f aca="false">D19-C19</f>
        <v>4</v>
      </c>
      <c r="F19" s="60"/>
      <c r="G19" s="60"/>
    </row>
    <row r="20" customFormat="false" ht="19.5" hidden="false" customHeight="true" outlineLevel="0" collapsed="false">
      <c r="A20" s="24" t="s">
        <v>65</v>
      </c>
      <c r="B20" s="54" t="s">
        <v>740</v>
      </c>
      <c r="C20" s="104" t="n">
        <v>1</v>
      </c>
      <c r="D20" s="106" t="n">
        <v>5</v>
      </c>
      <c r="E20" s="107" t="n">
        <f aca="false">D20-C20</f>
        <v>4</v>
      </c>
      <c r="F20" s="54"/>
      <c r="G20" s="54"/>
    </row>
    <row r="21" customFormat="false" ht="19.5" hidden="false" customHeight="true" outlineLevel="0" collapsed="false">
      <c r="A21" s="29" t="s">
        <v>65</v>
      </c>
      <c r="B21" s="60" t="s">
        <v>741</v>
      </c>
      <c r="C21" s="105" t="n">
        <v>3</v>
      </c>
      <c r="D21" s="106" t="n">
        <v>5</v>
      </c>
      <c r="E21" s="103" t="n">
        <f aca="false">D21-C21</f>
        <v>2</v>
      </c>
      <c r="F21" s="60"/>
      <c r="G21" s="60"/>
    </row>
    <row r="22" customFormat="false" ht="19.5" hidden="false" customHeight="true" outlineLevel="0" collapsed="false">
      <c r="A22" s="24" t="s">
        <v>65</v>
      </c>
      <c r="B22" s="54" t="s">
        <v>742</v>
      </c>
      <c r="C22" s="105" t="n">
        <v>3</v>
      </c>
      <c r="D22" s="106" t="n">
        <v>5</v>
      </c>
      <c r="E22" s="103" t="n">
        <f aca="false">D22-C22</f>
        <v>2</v>
      </c>
      <c r="F22" s="54"/>
      <c r="G22" s="54"/>
    </row>
    <row r="23" customFormat="false" ht="19.5" hidden="false" customHeight="true" outlineLevel="0" collapsed="false">
      <c r="A23" s="29" t="s">
        <v>743</v>
      </c>
      <c r="B23" s="60" t="s">
        <v>744</v>
      </c>
      <c r="C23" s="101" t="n">
        <v>2</v>
      </c>
      <c r="D23" s="102" t="n">
        <v>4</v>
      </c>
      <c r="E23" s="103" t="n">
        <f aca="false">D23-C23</f>
        <v>2</v>
      </c>
      <c r="F23" s="60"/>
      <c r="G23" s="60"/>
    </row>
    <row r="24" customFormat="false" ht="19.5" hidden="false" customHeight="true" outlineLevel="0" collapsed="false">
      <c r="A24" s="24" t="s">
        <v>743</v>
      </c>
      <c r="B24" s="54" t="s">
        <v>745</v>
      </c>
      <c r="C24" s="104" t="n">
        <v>1</v>
      </c>
      <c r="D24" s="102" t="n">
        <v>4</v>
      </c>
      <c r="E24" s="107" t="n">
        <f aca="false">D24-C24</f>
        <v>3</v>
      </c>
      <c r="F24" s="54"/>
      <c r="G24" s="54"/>
    </row>
    <row r="25" customFormat="false" ht="19.5" hidden="false" customHeight="true" outlineLevel="0" collapsed="false">
      <c r="A25" s="29" t="s">
        <v>743</v>
      </c>
      <c r="B25" s="60" t="s">
        <v>746</v>
      </c>
      <c r="C25" s="104" t="n">
        <v>1</v>
      </c>
      <c r="D25" s="105" t="n">
        <v>3</v>
      </c>
      <c r="E25" s="103" t="n">
        <f aca="false">D25-C25</f>
        <v>2</v>
      </c>
      <c r="F25" s="60"/>
      <c r="G25" s="60"/>
    </row>
    <row r="26" customFormat="false" ht="19.5" hidden="false" customHeight="true" outlineLevel="0" collapsed="false">
      <c r="A26" s="24" t="s">
        <v>747</v>
      </c>
      <c r="B26" s="54" t="s">
        <v>748</v>
      </c>
      <c r="C26" s="104" t="n">
        <v>1</v>
      </c>
      <c r="D26" s="102" t="n">
        <v>4</v>
      </c>
      <c r="E26" s="107" t="n">
        <f aca="false">D26-C26</f>
        <v>3</v>
      </c>
      <c r="F26" s="54"/>
      <c r="G26" s="54"/>
    </row>
    <row r="27" customFormat="false" ht="19.5" hidden="false" customHeight="true" outlineLevel="0" collapsed="false">
      <c r="A27" s="29" t="s">
        <v>747</v>
      </c>
      <c r="B27" s="60" t="s">
        <v>749</v>
      </c>
      <c r="C27" s="104" t="n">
        <v>1</v>
      </c>
      <c r="D27" s="102" t="n">
        <v>4</v>
      </c>
      <c r="E27" s="107" t="n">
        <f aca="false">D27-C27</f>
        <v>3</v>
      </c>
      <c r="F27" s="60"/>
      <c r="G27" s="60"/>
    </row>
    <row r="28" customFormat="false" ht="19.5" hidden="false" customHeight="true" outlineLevel="0" collapsed="false">
      <c r="A28" s="24" t="s">
        <v>747</v>
      </c>
      <c r="B28" s="54" t="s">
        <v>750</v>
      </c>
      <c r="C28" s="104" t="n">
        <v>1</v>
      </c>
      <c r="D28" s="105" t="n">
        <v>3</v>
      </c>
      <c r="E28" s="103" t="n">
        <f aca="false">D28-C28</f>
        <v>2</v>
      </c>
      <c r="F28" s="54"/>
      <c r="G28" s="54"/>
    </row>
    <row r="29" customFormat="false" ht="19.5" hidden="false" customHeight="true" outlineLevel="0" collapsed="false">
      <c r="A29" s="29" t="s">
        <v>69</v>
      </c>
      <c r="B29" s="60" t="s">
        <v>751</v>
      </c>
      <c r="C29" s="104" t="n">
        <v>1</v>
      </c>
      <c r="D29" s="105" t="n">
        <v>3</v>
      </c>
      <c r="E29" s="103" t="n">
        <f aca="false">D29-C29</f>
        <v>2</v>
      </c>
      <c r="F29" s="60"/>
      <c r="G29" s="60"/>
    </row>
    <row r="30" customFormat="false" ht="19.5" hidden="false" customHeight="true" outlineLevel="0" collapsed="false">
      <c r="A30" s="24" t="s">
        <v>69</v>
      </c>
      <c r="B30" s="54" t="s">
        <v>752</v>
      </c>
      <c r="C30" s="104" t="n">
        <v>1</v>
      </c>
      <c r="D30" s="102" t="n">
        <v>4</v>
      </c>
      <c r="E30" s="107" t="n">
        <f aca="false">D30-C30</f>
        <v>3</v>
      </c>
      <c r="F30" s="54"/>
      <c r="G30" s="54"/>
    </row>
    <row r="31" customFormat="false" ht="19.5" hidden="false" customHeight="true" outlineLevel="0" collapsed="false">
      <c r="A31" s="29" t="s">
        <v>69</v>
      </c>
      <c r="B31" s="60" t="s">
        <v>753</v>
      </c>
      <c r="C31" s="104" t="n">
        <v>1</v>
      </c>
      <c r="D31" s="105" t="n">
        <v>3</v>
      </c>
      <c r="E31" s="103" t="n">
        <f aca="false">D31-C31</f>
        <v>2</v>
      </c>
      <c r="F31" s="60"/>
      <c r="G31" s="60"/>
    </row>
    <row r="33" customFormat="false" ht="15" hidden="false" customHeight="true" outlineLevel="0" collapsed="false">
      <c r="A33" s="72" t="s">
        <v>754</v>
      </c>
      <c r="B33" s="72"/>
      <c r="C33" s="72"/>
      <c r="D33" s="72"/>
      <c r="E33" s="72"/>
      <c r="F33" s="72"/>
      <c r="G33" s="72"/>
    </row>
    <row r="34" customFormat="false" ht="15" hidden="false" customHeight="true" outlineLevel="0" collapsed="false">
      <c r="A34" s="10" t="s">
        <v>755</v>
      </c>
      <c r="B34" s="108" t="n">
        <f aca="false">AVERAGE(C6:C31)</f>
        <v>1.46153846153846</v>
      </c>
    </row>
    <row r="35" customFormat="false" ht="15" hidden="false" customHeight="true" outlineLevel="0" collapsed="false">
      <c r="A35" s="10" t="s">
        <v>756</v>
      </c>
      <c r="B35" s="108" t="n">
        <f aca="false">AVERAGE(D6:D31)</f>
        <v>3.92307692307692</v>
      </c>
    </row>
    <row r="36" customFormat="false" ht="15" hidden="false" customHeight="true" outlineLevel="0" collapsed="false">
      <c r="A36" s="10" t="s">
        <v>757</v>
      </c>
      <c r="B36" s="108" t="n">
        <f aca="false">AVERAGE(E6:E31)</f>
        <v>2.46153846153846</v>
      </c>
    </row>
    <row r="37" customFormat="false" ht="23.25" hidden="false" customHeight="true" outlineLevel="0" collapsed="false">
      <c r="A37" s="10" t="s">
        <v>758</v>
      </c>
      <c r="B37" s="108" t="n">
        <f aca="false">COUNTIF(C6:C31,1)</f>
        <v>17</v>
      </c>
    </row>
    <row r="38" customFormat="false" ht="23.25" hidden="false" customHeight="true" outlineLevel="0" collapsed="false">
      <c r="A38" s="10" t="s">
        <v>759</v>
      </c>
      <c r="B38" s="108" t="n">
        <f aca="false">COUNTIF(C6:C31,"&gt;=3")</f>
        <v>3</v>
      </c>
    </row>
  </sheetData>
  <autoFilter ref="A4:G31"/>
  <mergeCells count="4">
    <mergeCell ref="A1:J1"/>
    <mergeCell ref="A2:J2"/>
    <mergeCell ref="A4:G4"/>
    <mergeCell ref="A33:G33"/>
  </mergeCells>
  <dataValidations count="1">
    <dataValidation allowBlank="false" error="Score must be 1 (Crawl), 2 (Walk), 3 (Run), 4 (Fly), or 5 (Soar)" errorStyle="stop" errorTitle="Invalid Score" operator="between" showDropDown="false" showErrorMessage="true" showInputMessage="false" sqref="C6:C3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2026-04-01T05:56:45Z</dcterms:created>
  <dc:creator>openpyxl</dc:creator>
  <dc:description/>
  <dc:language>en-US</dc:language>
  <cp:lastModifiedBy/>
  <dcterms:modified xsi:type="dcterms:W3CDTF">2026-04-01T05:57:08Z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